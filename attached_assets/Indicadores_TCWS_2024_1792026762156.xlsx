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es" sheetId="1" state="visible" r:id="rId3"/>
    <sheet name="Vari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<sst xmlns="http://schemas.openxmlformats.org/spreadsheetml/2006/main" count="424" uniqueCount="262">
  <si>
    <t xml:space="preserve">Tagbilaran City Waterworks (TCWS) – Indicadores de desempeño 2024</t>
  </si>
  <si>
    <t xml:space="preserve">Nivel 1 = Elemental · 2 = Básico · 3 = Bueno · 4 = Buen desempeño · 5 = Clase mundial. La celda del rango alcanzado se resalta.</t>
  </si>
  <si>
    <t xml:space="preserve">Umbrales usados por la fórmula de nivel</t>
  </si>
  <si>
    <t xml:space="preserve">Dimensión</t>
  </si>
  <si>
    <t xml:space="preserve">Indicador</t>
  </si>
  <si>
    <t xml:space="preserve">Unidad</t>
  </si>
  <si>
    <t xml:space="preserve">Fórmula</t>
  </si>
  <si>
    <t xml:space="preserve">Valor 2024</t>
  </si>
  <si>
    <t xml:space="preserve">Nivel 1
Elemental</t>
  </si>
  <si>
    <t xml:space="preserve">Nivel 2
Básico</t>
  </si>
  <si>
    <t xml:space="preserve">Nivel 3
Bueno</t>
  </si>
  <si>
    <t xml:space="preserve">Nivel 4
Buen desempeño</t>
  </si>
  <si>
    <t xml:space="preserve">Nivel 5
Clase mundial</t>
  </si>
  <si>
    <t xml:space="preserve">Nivel alcanzado</t>
  </si>
  <si>
    <t xml:space="preserve">Dirección</t>
  </si>
  <si>
    <t xml:space="preserve">Umbral N2</t>
  </si>
  <si>
    <t xml:space="preserve">Umbral N3</t>
  </si>
  <si>
    <t xml:space="preserve">Umbral N4</t>
  </si>
  <si>
    <t xml:space="preserve">Umbral N5</t>
  </si>
  <si>
    <t xml:space="preserve">Reliable</t>
  </si>
  <si>
    <t xml:space="preserve">Continuity (hours/day on average)</t>
  </si>
  <si>
    <t xml:space="preserve">h/día</t>
  </si>
  <si>
    <t xml:space="preserve">Horas promedio de servicio</t>
  </si>
  <si>
    <t xml:space="preserve">&lt; 8</t>
  </si>
  <si>
    <t xml:space="preserve">8 – 15</t>
  </si>
  <si>
    <t xml:space="preserve">15 – 20</t>
  </si>
  <si>
    <t xml:space="preserve">20 – 24</t>
  </si>
  <si>
    <t xml:space="preserve">≥ 24</t>
  </si>
  <si>
    <t xml:space="preserve">&gt;</t>
  </si>
  <si>
    <t xml:space="preserve">Continuity (% of customers with 24/7 supply)</t>
  </si>
  <si>
    <t xml:space="preserve">%</t>
  </si>
  <si>
    <t xml:space="preserve">Clientes con 24/7 / total</t>
  </si>
  <si>
    <t xml:space="preserve">&lt; 5%</t>
  </si>
  <si>
    <t xml:space="preserve">5% – 25%</t>
  </si>
  <si>
    <t xml:space="preserve">25% – 60%</t>
  </si>
  <si>
    <t xml:space="preserve">60% – 100%</t>
  </si>
  <si>
    <t xml:space="preserve">≥ 100%</t>
  </si>
  <si>
    <t xml:space="preserve">Availability (l/pc/day)</t>
  </si>
  <si>
    <t xml:space="preserve">l/hab/día</t>
  </si>
  <si>
    <t xml:space="preserve">Ventas domésticas × 1000 / 365 / población servida</t>
  </si>
  <si>
    <t xml:space="preserve">&lt; 30</t>
  </si>
  <si>
    <t xml:space="preserve">30 – 50</t>
  </si>
  <si>
    <t xml:space="preserve">50 – 120</t>
  </si>
  <si>
    <t xml:space="preserve">120 – 240</t>
  </si>
  <si>
    <t xml:space="preserve">≥ 240</t>
  </si>
  <si>
    <t xml:space="preserve">Fecal sludge emptying services provided in less than 24 hours</t>
  </si>
  <si>
    <t xml:space="preserve">Vaciados en &lt; 24 h / solicitados</t>
  </si>
  <si>
    <t xml:space="preserve">&lt; 30%</t>
  </si>
  <si>
    <t xml:space="preserve">30% – 50%</t>
  </si>
  <si>
    <t xml:space="preserve">50% – 75%</t>
  </si>
  <si>
    <t xml:space="preserve">75% – 90%</t>
  </si>
  <si>
    <t xml:space="preserve">≥ 90%</t>
  </si>
  <si>
    <t xml:space="preserve">Safe</t>
  </si>
  <si>
    <t xml:space="preserve">Drinking Water Quality (%)</t>
  </si>
  <si>
    <t xml:space="preserve">Muestras conformes / total</t>
  </si>
  <si>
    <t xml:space="preserve">&lt; 50%</t>
  </si>
  <si>
    <t xml:space="preserve">50% – 85%</t>
  </si>
  <si>
    <t xml:space="preserve">85% – 95%</t>
  </si>
  <si>
    <t xml:space="preserve">95% – 97%</t>
  </si>
  <si>
    <t xml:space="preserve">≥ 97%</t>
  </si>
  <si>
    <t xml:space="preserve">Wastewater and fecal sludge treatment (%)</t>
  </si>
  <si>
    <t xml:space="preserve">Tratado / recolectado</t>
  </si>
  <si>
    <t xml:space="preserve">Inclusive</t>
  </si>
  <si>
    <t xml:space="preserve">Drinking Water Coverage (%)</t>
  </si>
  <si>
    <t xml:space="preserve">Población servida con agua / población</t>
  </si>
  <si>
    <t xml:space="preserve">75% – 85%</t>
  </si>
  <si>
    <t xml:space="preserve">≥ 95%</t>
  </si>
  <si>
    <t xml:space="preserve">Sanitation Coverage (%)</t>
  </si>
  <si>
    <t xml:space="preserve">Población con saneamiento / población</t>
  </si>
  <si>
    <t xml:space="preserve">&lt; 10%</t>
  </si>
  <si>
    <t xml:space="preserve">10% – 20%</t>
  </si>
  <si>
    <t xml:space="preserve">20% – 50%</t>
  </si>
  <si>
    <t xml:space="preserve">50% – 80%</t>
  </si>
  <si>
    <t xml:space="preserve">≥ 80%</t>
  </si>
  <si>
    <t xml:space="preserve">Responsive</t>
  </si>
  <si>
    <t xml:space="preserve">Percent Customers Satisfied with Service (past 2 years)</t>
  </si>
  <si>
    <t xml:space="preserve">Encuesta de satisfacción</t>
  </si>
  <si>
    <t xml:space="preserve">&lt; 20%</t>
  </si>
  <si>
    <t xml:space="preserve">20% – 40%</t>
  </si>
  <si>
    <t xml:space="preserve">40% – 55%</t>
  </si>
  <si>
    <t xml:space="preserve">55% – 70%</t>
  </si>
  <si>
    <t xml:space="preserve">≥ 70%</t>
  </si>
  <si>
    <t xml:space="preserve">Percent of grievances satisfactorily resolved within 7 days</t>
  </si>
  <si>
    <t xml:space="preserve">Resueltos en 7 días / recibidos</t>
  </si>
  <si>
    <t xml:space="preserve">10% – 25%</t>
  </si>
  <si>
    <t xml:space="preserve">25% – 50%</t>
  </si>
  <si>
    <t xml:space="preserve">50% – 70%</t>
  </si>
  <si>
    <t xml:space="preserve">Percentage of sewer blockage complaints addressed within 48 hours</t>
  </si>
  <si>
    <t xml:space="preserve">Atendidas en 48 h / recibidas</t>
  </si>
  <si>
    <t xml:space="preserve">Commercial Management</t>
  </si>
  <si>
    <t xml:space="preserve">Collection rate (%)</t>
  </si>
  <si>
    <t xml:space="preserve">Cobranza / ingresos</t>
  </si>
  <si>
    <t xml:space="preserve">&lt; 60%</t>
  </si>
  <si>
    <t xml:space="preserve">60% – 70%</t>
  </si>
  <si>
    <t xml:space="preserve">70% – 90%</t>
  </si>
  <si>
    <t xml:space="preserve">90% – 95%</t>
  </si>
  <si>
    <t xml:space="preserve">Metered water connections (%)</t>
  </si>
  <si>
    <t xml:space="preserve">Conexiones con medidor / total</t>
  </si>
  <si>
    <t xml:space="preserve">&lt; 25%</t>
  </si>
  <si>
    <t xml:space="preserve">60% – 85%</t>
  </si>
  <si>
    <t xml:space="preserve">Service Complaints Resolved</t>
  </si>
  <si>
    <t xml:space="preserve">Resueltas / recibidas</t>
  </si>
  <si>
    <t xml:space="preserve">60% – 80%</t>
  </si>
  <si>
    <t xml:space="preserve">80% – 90%</t>
  </si>
  <si>
    <t xml:space="preserve">Technical Operations</t>
  </si>
  <si>
    <t xml:space="preserve">NRW (Liters/Connection/Hour)</t>
  </si>
  <si>
    <t xml:space="preserve">l/con/h</t>
  </si>
  <si>
    <t xml:space="preserve">Volumen NRW × 1000 / 365 / conexiones / horas de servicio</t>
  </si>
  <si>
    <t xml:space="preserve">&gt; 50</t>
  </si>
  <si>
    <t xml:space="preserve">25 – 50</t>
  </si>
  <si>
    <t xml:space="preserve">12 – 25</t>
  </si>
  <si>
    <t xml:space="preserve">6 – 12</t>
  </si>
  <si>
    <t xml:space="preserve">≤ 6</t>
  </si>
  <si>
    <t xml:space="preserve">&lt;</t>
  </si>
  <si>
    <t xml:space="preserve">Non-Revenue Water (%)</t>
  </si>
  <si>
    <t xml:space="preserve">(Producido − vendido) / producido</t>
  </si>
  <si>
    <t xml:space="preserve">&gt; 30%</t>
  </si>
  <si>
    <t xml:space="preserve">20% – 30%</t>
  </si>
  <si>
    <t xml:space="preserve">5% – 10%</t>
  </si>
  <si>
    <t xml:space="preserve">≤ 5%</t>
  </si>
  <si>
    <t xml:space="preserve">Sewer Blockages (blockages/100km)</t>
  </si>
  <si>
    <t xml:space="preserve">obstr./100 km</t>
  </si>
  <si>
    <t xml:space="preserve">Obstrucciones / km de red × 100</t>
  </si>
  <si>
    <t xml:space="preserve">&gt; 30</t>
  </si>
  <si>
    <t xml:space="preserve">20 – 30</t>
  </si>
  <si>
    <t xml:space="preserve">10 – 20</t>
  </si>
  <si>
    <t xml:space="preserve">5 – 10</t>
  </si>
  <si>
    <t xml:space="preserve">≤ 5</t>
  </si>
  <si>
    <t xml:space="preserve">Financial Management</t>
  </si>
  <si>
    <t xml:space="preserve">EBITDA Margin</t>
  </si>
  <si>
    <t xml:space="preserve">(Ingresos − gastos operativos) / ingresos</t>
  </si>
  <si>
    <t xml:space="preserve">&lt; 0%</t>
  </si>
  <si>
    <t xml:space="preserve">0% – 5%</t>
  </si>
  <si>
    <t xml:space="preserve">5% – 19%</t>
  </si>
  <si>
    <t xml:space="preserve">19% – 30%</t>
  </si>
  <si>
    <t xml:space="preserve">≥ 30%</t>
  </si>
  <si>
    <t xml:space="preserve">Operation Cost Coverage (%)</t>
  </si>
  <si>
    <t xml:space="preserve">Ingresos / gastos operativos</t>
  </si>
  <si>
    <t xml:space="preserve">90% – 100%</t>
  </si>
  <si>
    <t xml:space="preserve">Talent Management</t>
  </si>
  <si>
    <t xml:space="preserve">Employees per 1000 connections (water and/or wastewater)</t>
  </si>
  <si>
    <t xml:space="preserve">emp/1000 con</t>
  </si>
  <si>
    <t xml:space="preserve">Empleados / (conexiones agua + alcantarillado) × 1000</t>
  </si>
  <si>
    <t xml:space="preserve">&gt; 10</t>
  </si>
  <si>
    <t xml:space="preserve">6 – 10</t>
  </si>
  <si>
    <t xml:space="preserve">5 – 6</t>
  </si>
  <si>
    <t xml:space="preserve">3 – 5</t>
  </si>
  <si>
    <t xml:space="preserve">≤ 3</t>
  </si>
  <si>
    <t xml:space="preserve">Employee Turnover Rate</t>
  </si>
  <si>
    <t xml:space="preserve">Empleados que se retiraron / empleados</t>
  </si>
  <si>
    <t xml:space="preserve">&gt; 10%</t>
  </si>
  <si>
    <t xml:space="preserve">7% – 10%</t>
  </si>
  <si>
    <t xml:space="preserve">5% – 7%</t>
  </si>
  <si>
    <t xml:space="preserve">3% – 5%</t>
  </si>
  <si>
    <t xml:space="preserve">≤ 3%</t>
  </si>
  <si>
    <t xml:space="preserve">HR Costs as % of Total Operating Costs</t>
  </si>
  <si>
    <t xml:space="preserve">Costo de personal / gastos operativos</t>
  </si>
  <si>
    <t xml:space="preserve">Informativo (sin rangos de referencia)</t>
  </si>
  <si>
    <t xml:space="preserve">Notas</t>
  </si>
  <si>
    <t xml:space="preserve">• Año base 2024. Donde el documento no trae el dato de 2024 se usó el más cercano: gastos operativos 2023 y volúmenes producido/vendido de ene–jun 2025 anualizados (ver hoja Variables).</t>
  </si>
  <si>
    <t xml:space="preserve">• Margen EBITDA y cobertura de costos comparan ingresos 2024 con gastos operativos 2023: son aproximados.</t>
  </si>
  <si>
    <t xml:space="preserve">• La cobertura de agua usa la población de toda la ciudad; TCWS solo atiende 10 de 15 barangays, por lo que la cobertura real de su área sería mayor.</t>
  </si>
  <si>
    <t xml:space="preserve">• Empleados por 1,000 conexiones usa 9 empleados de planta; con los 15 "job order" (24 en total) el valor sería 3.71 (Nivel 4).</t>
  </si>
  <si>
    <t xml:space="preserve">• "Sin dato": el documento no reporta la información necesaria. Al completar la hoja Variables, los indicadores se recalculan solos.</t>
  </si>
  <si>
    <t xml:space="preserve">Tagbilaran City Waterworks (TCWS) – Variables clave, año base 2024</t>
  </si>
  <si>
    <t xml:space="preserve">Tagbilaran City, Bohol, Filipinas · Fuente: Preliminary Business Plan. Valores en azul = datos de entrada; celdas vacías = sin dato.</t>
  </si>
  <si>
    <t xml:space="preserve">Variable</t>
  </si>
  <si>
    <t xml:space="preserve">Valor</t>
  </si>
  <si>
    <t xml:space="preserve">Origen</t>
  </si>
  <si>
    <t xml:space="preserve">Nota / fuente</t>
  </si>
  <si>
    <t xml:space="preserve">Alcance del servicio</t>
  </si>
  <si>
    <t xml:space="preserve">Number of people in service area (last census)</t>
  </si>
  <si>
    <t xml:space="preserve">personas</t>
  </si>
  <si>
    <t xml:space="preserve">Documento</t>
  </si>
  <si>
    <t xml:space="preserve">Censo PSA 2024, toda la ciudad. TCWS atiende 10 de 15 barangays (aprox. 27,000 personas).</t>
  </si>
  <si>
    <t xml:space="preserve">Average number of persons in one family</t>
  </si>
  <si>
    <t xml:space="preserve">Tamaño medio del hogar (Tabla 20).</t>
  </si>
  <si>
    <t xml:space="preserve">Average number of people served per public standpipe</t>
  </si>
  <si>
    <t xml:space="preserve">Sin dato</t>
  </si>
  <si>
    <t xml:space="preserve">No se reportan surtidores públicos.</t>
  </si>
  <si>
    <t xml:space="preserve">Servicio de agua</t>
  </si>
  <si>
    <t xml:space="preserve">Total water service connections</t>
  </si>
  <si>
    <t xml:space="preserve">número</t>
  </si>
  <si>
    <t xml:space="preserve">Conexiones reales 2024 (nota Tabla 21). Ago-2025: 6,084.</t>
  </si>
  <si>
    <t xml:space="preserve">Total water service connections with installed water meter</t>
  </si>
  <si>
    <t xml:space="preserve">Los medidores los compra el usuario; no se reporta el número.</t>
  </si>
  <si>
    <t xml:space="preserve">Total water connections with installed Smart Meters</t>
  </si>
  <si>
    <t xml:space="preserve">Total active domestic water connections</t>
  </si>
  <si>
    <t xml:space="preserve">Estimado</t>
  </si>
  <si>
    <t xml:space="preserve">6,461 × 98.9% (participación residencial 6,017/6,084 de 2025).</t>
  </si>
  <si>
    <t xml:space="preserve">Total number of public water sources or standpipes</t>
  </si>
  <si>
    <t xml:space="preserve">Total annual produced water volume</t>
  </si>
  <si>
    <t xml:space="preserve">m³</t>
  </si>
  <si>
    <t xml:space="preserve">Sin dato 2024. 7.66 MLD × 365 (promedio ene–jun 2025).</t>
  </si>
  <si>
    <t xml:space="preserve">Total annual water sales volume</t>
  </si>
  <si>
    <t xml:space="preserve">Sin dato 2024. 5.26 MLD × 365 (promedio ene–jun 2025). Facturado 2023: 1,897,357 m³.</t>
  </si>
  <si>
    <t xml:space="preserve">Total sales volume to domestic customers</t>
  </si>
  <si>
    <t xml:space="preserve">6,017 conexiones residenciales × 26.1 m³/mes × 12.</t>
  </si>
  <si>
    <t xml:space="preserve">horas</t>
  </si>
  <si>
    <t xml:space="preserve">Inferido</t>
  </si>
  <si>
    <t xml:space="preserve">Reportado 22 a 24 h/día; se usa el punto medio.</t>
  </si>
  <si>
    <t xml:space="preserve">Drinking water quality (% of samples meeting standards)</t>
  </si>
  <si>
    <t xml:space="preserve">FODA: "10% de fallas en muestreo" (norma PNSDW, no OMS).</t>
  </si>
  <si>
    <t xml:space="preserve">Aguas residuales y lodos fecales</t>
  </si>
  <si>
    <t xml:space="preserve">Number of domestic properties with wastewater network connection</t>
  </si>
  <si>
    <t xml:space="preserve">TCWS no presta servicio de saneamiento.</t>
  </si>
  <si>
    <t xml:space="preserve">Number of properties with septic tank</t>
  </si>
  <si>
    <t xml:space="preserve">PPDO reporta 103% de hogares con fosa (cifra inconsistente).</t>
  </si>
  <si>
    <t xml:space="preserve">Wastewater and fecal sludge collected</t>
  </si>
  <si>
    <t xml:space="preserve">Wastewater and fecal sludge treated</t>
  </si>
  <si>
    <t xml:space="preserve">Planta de lodos de 24 m³/día en desarrollo.</t>
  </si>
  <si>
    <t xml:space="preserve">Fecal sludge emptying provided within 24 hours of request</t>
  </si>
  <si>
    <t xml:space="preserve">Sewer blockage complaints addressed within 48 hours</t>
  </si>
  <si>
    <t xml:space="preserve">Total length of sewer network</t>
  </si>
  <si>
    <t xml:space="preserve">km</t>
  </si>
  <si>
    <t xml:space="preserve">Total number of blockages</t>
  </si>
  <si>
    <t xml:space="preserve">Servicio al cliente</t>
  </si>
  <si>
    <t xml:space="preserve">Grievances satisfactorily resolved within 7 days</t>
  </si>
  <si>
    <t xml:space="preserve">Solo se definieron metas de tiempo de respuesta.</t>
  </si>
  <si>
    <t xml:space="preserve">Customers satisfied with service (past 2 years)</t>
  </si>
  <si>
    <t xml:space="preserve">Service complaints resolved (resolved / received)</t>
  </si>
  <si>
    <t xml:space="preserve">Datos financieros (PhP)</t>
  </si>
  <si>
    <t xml:space="preserve">Total annual revenues</t>
  </si>
  <si>
    <t xml:space="preserve">PhP</t>
  </si>
  <si>
    <t xml:space="preserve">Ventas de agua 2024 (Tabla 5). Ingresos totales no reportados.</t>
  </si>
  <si>
    <t xml:space="preserve">Annual payments received from customers (collection)</t>
  </si>
  <si>
    <t xml:space="preserve">Eficiencia de cobranza no calculada.</t>
  </si>
  <si>
    <t xml:space="preserve">Annual payments received through electronic payments</t>
  </si>
  <si>
    <t xml:space="preserve">Existen socios de pago en línea; sin montos.</t>
  </si>
  <si>
    <t xml:space="preserve">Operating annual expenses (excl. depreciation &amp; interest)</t>
  </si>
  <si>
    <t xml:space="preserve">Sin dato 2024. OPEX calculado 2023 (Tabla 16).</t>
  </si>
  <si>
    <t xml:space="preserve">Annual electricity costs</t>
  </si>
  <si>
    <t xml:space="preserve">Solo proyección 2030: PhP 87.8 M.</t>
  </si>
  <si>
    <t xml:space="preserve">Annual labor costs</t>
  </si>
  <si>
    <t xml:space="preserve">Solo proyección 2030: PhP 10.4 M.</t>
  </si>
  <si>
    <t xml:space="preserve">Annual other costs</t>
  </si>
  <si>
    <t xml:space="preserve">Total invoices received from suppliers</t>
  </si>
  <si>
    <t xml:space="preserve">Total electronic invoices received from suppliers</t>
  </si>
  <si>
    <t xml:space="preserve">Planificación y estrategia</t>
  </si>
  <si>
    <t xml:space="preserve">Adherence to planning schedule</t>
  </si>
  <si>
    <t xml:space="preserve">Budget adherence</t>
  </si>
  <si>
    <t xml:space="preserve">Recursos humanos</t>
  </si>
  <si>
    <t xml:space="preserve">Total number of full-time employees</t>
  </si>
  <si>
    <t xml:space="preserve">Personal de planta (Tabla 6). Con 15 "job order" = 24. El texto menciona 11 de planta.</t>
  </si>
  <si>
    <t xml:space="preserve">Total number of full-time female employees</t>
  </si>
  <si>
    <t xml:space="preserve">De planta; 6 incluyendo "job order".</t>
  </si>
  <si>
    <t xml:space="preserve">Total number of managers</t>
  </si>
  <si>
    <t xml:space="preserve">Organigrama: jefe de departamento y OIC.</t>
  </si>
  <si>
    <t xml:space="preserve">Total number of female managers</t>
  </si>
  <si>
    <t xml:space="preserve">Total number of engineers</t>
  </si>
  <si>
    <t xml:space="preserve">Total number of female engineers</t>
  </si>
  <si>
    <t xml:space="preserve">Number of employees who left during the period</t>
  </si>
  <si>
    <t xml:space="preserve">Variables intermedias (calculadas)</t>
  </si>
  <si>
    <t xml:space="preserve">Population served with water</t>
  </si>
  <si>
    <t xml:space="preserve">Calculado</t>
  </si>
  <si>
    <t xml:space="preserve">Personas/familia × conexiones domésticas + personas/surtidor × surtidores.</t>
  </si>
  <si>
    <t xml:space="preserve">Population served with sanitation</t>
  </si>
  <si>
    <t xml:space="preserve">Personas/familia × (conexiones al alcantarillado + fosas sépticas).</t>
  </si>
  <si>
    <t xml:space="preserve">Non-revenue water volume</t>
  </si>
  <si>
    <t xml:space="preserve">Producido − vendido.</t>
  </si>
  <si>
    <t xml:space="preserve">EBITDA</t>
  </si>
  <si>
    <t xml:space="preserve">Ingresos − gastos operativos.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</si>
</sst>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0.0%"/>
    <numFmt numFmtId="168" formatCode="0.00"/>
    <numFmt numFmtId="169" formatCode="#,##0"/>
    <numFmt numFmtId="170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666699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</font>
      <fill>
        <patternFill>
          <bgColor rgb="FFFFD966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63BE7B"/>
        </patternFill>
      </fill>
    </dxf>
    <dxf>
      <font>
        <name val="Arial"/>
        <charset val="1"/>
        <family val="0"/>
        <i val="1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DED"/>
      <rgbColor rgb="FFFF99CC"/>
      <rgbColor rgb="FFCC99FF"/>
      <rgbColor rgb="FFF8CBAD"/>
      <rgbColor rgb="FF3366FF"/>
      <rgbColor rgb="FF63BE7B"/>
      <rgbColor rgb="FF99CC00"/>
      <rgbColor rgb="FFFFD966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10" min="6" style="0" width="15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7" min="1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M3" s="2" t="s">
        <v>2</v>
      </c>
    </row>
    <row r="4" customFormat="false" ht="31.5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31.5" hidden="false" customHeight="true" outlineLevel="0" collapsed="false">
      <c r="A5" s="5" t="s">
        <v>19</v>
      </c>
      <c r="B5" s="6" t="s">
        <v>20</v>
      </c>
      <c r="C5" s="7" t="s">
        <v>21</v>
      </c>
      <c r="D5" s="7" t="s">
        <v>22</v>
      </c>
      <c r="E5" s="8" t="n">
        <f aca="false">IFERROR(IF(OR(ISBLANK(Variables!$C$19)),"Sin dato",Variables!$C$19),"Sin dato")</f>
        <v>23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9" t="n">
        <f aca="false">IF(E5="Sin dato","Sin dato",IF(E5&gt;=Q5,5,IF(E5&gt;=P5,4,IF(E5&gt;=O5,3,IF(E5&gt;=N5,2,1)))))</f>
        <v>4</v>
      </c>
      <c r="M5" s="2" t="s">
        <v>28</v>
      </c>
      <c r="N5" s="10" t="n">
        <v>8</v>
      </c>
      <c r="O5" s="10" t="n">
        <v>15</v>
      </c>
      <c r="P5" s="10" t="n">
        <v>20</v>
      </c>
      <c r="Q5" s="10" t="n">
        <v>24</v>
      </c>
    </row>
    <row r="6" customFormat="false" ht="31.5" hidden="false" customHeight="true" outlineLevel="0" collapsed="false">
      <c r="A6" s="5" t="s">
        <v>19</v>
      </c>
      <c r="B6" s="6" t="s">
        <v>29</v>
      </c>
      <c r="C6" s="7" t="s">
        <v>30</v>
      </c>
      <c r="D6" s="7" t="s">
        <v>31</v>
      </c>
      <c r="E6" s="11" t="str">
        <f aca="false">IFERROR(IF(OR(ISBLANK(Variables!$C$18)),"Sin dato",Variables!$C$18),"Sin dato")</f>
        <v>Sin dato</v>
      </c>
      <c r="F6" s="7" t="s">
        <v>32</v>
      </c>
      <c r="G6" s="7" t="s">
        <v>33</v>
      </c>
      <c r="H6" s="7" t="s">
        <v>34</v>
      </c>
      <c r="I6" s="7" t="s">
        <v>35</v>
      </c>
      <c r="J6" s="7" t="s">
        <v>36</v>
      </c>
      <c r="K6" s="9" t="str">
        <f aca="false">IF(E6="Sin dato","Sin dato",IF(E6&gt;=Q6,5,IF(E6&gt;=P6,4,IF(E6&gt;=O6,3,IF(E6&gt;=N6,2,1)))))</f>
        <v>Sin dato</v>
      </c>
      <c r="M6" s="2" t="s">
        <v>28</v>
      </c>
      <c r="N6" s="12" t="n">
        <v>0.05</v>
      </c>
      <c r="O6" s="12" t="n">
        <v>0.25</v>
      </c>
      <c r="P6" s="12" t="n">
        <v>0.6</v>
      </c>
      <c r="Q6" s="12" t="n">
        <v>1</v>
      </c>
    </row>
    <row r="7" customFormat="false" ht="31.5" hidden="false" customHeight="true" outlineLevel="0" collapsed="false">
      <c r="A7" s="5" t="s">
        <v>19</v>
      </c>
      <c r="B7" s="6" t="s">
        <v>37</v>
      </c>
      <c r="C7" s="7" t="s">
        <v>38</v>
      </c>
      <c r="D7" s="7" t="s">
        <v>39</v>
      </c>
      <c r="E7" s="8" t="n">
        <f aca="false">IFERROR(IF(OR(ISBLANK(Variables!$C$17) ,Variables!$C$56=""),"Sin dato",Variables!$C$17*1000/365/Variables!$C$56),"Sin dato")</f>
        <v>179.551858759525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9" t="n">
        <f aca="false">IF(E7="Sin dato","Sin dato",IF(E7&gt;=Q7,5,IF(E7&gt;=P7,4,IF(E7&gt;=O7,3,IF(E7&gt;=N7,2,1)))))</f>
        <v>4</v>
      </c>
      <c r="M7" s="2" t="s">
        <v>28</v>
      </c>
      <c r="N7" s="10" t="n">
        <v>30</v>
      </c>
      <c r="O7" s="10" t="n">
        <v>50</v>
      </c>
      <c r="P7" s="10" t="n">
        <v>120</v>
      </c>
      <c r="Q7" s="10" t="n">
        <v>240</v>
      </c>
    </row>
    <row r="8" customFormat="false" ht="31.5" hidden="false" customHeight="true" outlineLevel="0" collapsed="false">
      <c r="A8" s="5" t="s">
        <v>19</v>
      </c>
      <c r="B8" s="6" t="s">
        <v>45</v>
      </c>
      <c r="C8" s="7" t="s">
        <v>30</v>
      </c>
      <c r="D8" s="7" t="s">
        <v>46</v>
      </c>
      <c r="E8" s="11" t="str">
        <f aca="false">IFERROR(IF(OR(ISBLANK(Variables!$C$26)),"Sin dato",Variables!$C$26),"Sin dato")</f>
        <v>Sin dato</v>
      </c>
      <c r="F8" s="7" t="s">
        <v>47</v>
      </c>
      <c r="G8" s="7" t="s">
        <v>48</v>
      </c>
      <c r="H8" s="7" t="s">
        <v>49</v>
      </c>
      <c r="I8" s="7" t="s">
        <v>50</v>
      </c>
      <c r="J8" s="7" t="s">
        <v>51</v>
      </c>
      <c r="K8" s="9" t="str">
        <f aca="false">IF(E8="Sin dato","Sin dato",IF(E8&gt;=Q8,5,IF(E8&gt;=P8,4,IF(E8&gt;=O8,3,IF(E8&gt;=N8,2,1)))))</f>
        <v>Sin dato</v>
      </c>
      <c r="M8" s="2" t="s">
        <v>28</v>
      </c>
      <c r="N8" s="12" t="n">
        <v>0.3</v>
      </c>
      <c r="O8" s="12" t="n">
        <v>0.5</v>
      </c>
      <c r="P8" s="12" t="n">
        <v>0.75</v>
      </c>
      <c r="Q8" s="12" t="n">
        <v>0.9</v>
      </c>
    </row>
    <row r="9" customFormat="false" ht="31.5" hidden="false" customHeight="true" outlineLevel="0" collapsed="false">
      <c r="A9" s="13" t="s">
        <v>52</v>
      </c>
      <c r="B9" s="6" t="s">
        <v>53</v>
      </c>
      <c r="C9" s="7" t="s">
        <v>30</v>
      </c>
      <c r="D9" s="7" t="s">
        <v>54</v>
      </c>
      <c r="E9" s="11" t="n">
        <f aca="false">IFERROR(IF(OR(ISBLANK(Variables!$C$20)),"Sin dato",Variables!$C$20),"Sin dato")</f>
        <v>0.9</v>
      </c>
      <c r="F9" s="7" t="s">
        <v>55</v>
      </c>
      <c r="G9" s="7" t="s">
        <v>56</v>
      </c>
      <c r="H9" s="7" t="s">
        <v>57</v>
      </c>
      <c r="I9" s="7" t="s">
        <v>58</v>
      </c>
      <c r="J9" s="7" t="s">
        <v>59</v>
      </c>
      <c r="K9" s="9" t="n">
        <f aca="false">IF(E9="Sin dato","Sin dato",IF(E9&gt;=Q9,5,IF(E9&gt;=P9,4,IF(E9&gt;=O9,3,IF(E9&gt;=N9,2,1)))))</f>
        <v>3</v>
      </c>
      <c r="M9" s="2" t="s">
        <v>28</v>
      </c>
      <c r="N9" s="12" t="n">
        <v>0.5</v>
      </c>
      <c r="O9" s="12" t="n">
        <v>0.85</v>
      </c>
      <c r="P9" s="12" t="n">
        <v>0.95</v>
      </c>
      <c r="Q9" s="12" t="n">
        <v>0.97</v>
      </c>
    </row>
    <row r="10" customFormat="false" ht="31.5" hidden="false" customHeight="true" outlineLevel="0" collapsed="false">
      <c r="A10" s="13" t="s">
        <v>52</v>
      </c>
      <c r="B10" s="6" t="s">
        <v>60</v>
      </c>
      <c r="C10" s="7" t="s">
        <v>30</v>
      </c>
      <c r="D10" s="7" t="s">
        <v>61</v>
      </c>
      <c r="E10" s="11" t="str">
        <f aca="false">IFERROR(IF(OR(ISBLANK(Variables!$C$25) ,ISBLANK(Variables!$C$24)),"Sin dato",Variables!$C$25/Variables!$C$24),"Sin dato")</f>
        <v>Sin dato</v>
      </c>
      <c r="F10" s="7" t="s">
        <v>47</v>
      </c>
      <c r="G10" s="7" t="s">
        <v>48</v>
      </c>
      <c r="H10" s="7" t="s">
        <v>49</v>
      </c>
      <c r="I10" s="7" t="s">
        <v>50</v>
      </c>
      <c r="J10" s="7" t="s">
        <v>51</v>
      </c>
      <c r="K10" s="9" t="str">
        <f aca="false">IF(E10="Sin dato","Sin dato",IF(E10&gt;=Q10,5,IF(E10&gt;=P10,4,IF(E10&gt;=O10,3,IF(E10&gt;=N10,2,1)))))</f>
        <v>Sin dato</v>
      </c>
      <c r="M10" s="2" t="s">
        <v>28</v>
      </c>
      <c r="N10" s="12" t="n">
        <v>0.3</v>
      </c>
      <c r="O10" s="12" t="n">
        <v>0.5</v>
      </c>
      <c r="P10" s="12" t="n">
        <v>0.75</v>
      </c>
      <c r="Q10" s="12" t="n">
        <v>0.9</v>
      </c>
    </row>
    <row r="11" customFormat="false" ht="31.5" hidden="false" customHeight="true" outlineLevel="0" collapsed="false">
      <c r="A11" s="14" t="s">
        <v>62</v>
      </c>
      <c r="B11" s="6" t="s">
        <v>63</v>
      </c>
      <c r="C11" s="7" t="s">
        <v>30</v>
      </c>
      <c r="D11" s="7" t="s">
        <v>64</v>
      </c>
      <c r="E11" s="11" t="n">
        <f aca="false">IFERROR(IF(OR(Variables!$C$56="" ,ISBLANK(Variables!$C$6)),"Sin dato",Variables!$C$56/Variables!$C$6),"Sin dato")</f>
        <v>0.270966830003769</v>
      </c>
      <c r="F11" s="7" t="s">
        <v>55</v>
      </c>
      <c r="G11" s="7" t="s">
        <v>49</v>
      </c>
      <c r="H11" s="7" t="s">
        <v>65</v>
      </c>
      <c r="I11" s="7" t="s">
        <v>57</v>
      </c>
      <c r="J11" s="7" t="s">
        <v>66</v>
      </c>
      <c r="K11" s="9" t="n">
        <f aca="false">IF(E11="Sin dato","Sin dato",IF(E11&gt;=Q11,5,IF(E11&gt;=P11,4,IF(E11&gt;=O11,3,IF(E11&gt;=N11,2,1)))))</f>
        <v>1</v>
      </c>
      <c r="M11" s="2" t="s">
        <v>28</v>
      </c>
      <c r="N11" s="12" t="n">
        <v>0.5</v>
      </c>
      <c r="O11" s="12" t="n">
        <v>0.75</v>
      </c>
      <c r="P11" s="12" t="n">
        <v>0.85</v>
      </c>
      <c r="Q11" s="12" t="n">
        <v>0.95</v>
      </c>
    </row>
    <row r="12" customFormat="false" ht="31.5" hidden="false" customHeight="true" outlineLevel="0" collapsed="false">
      <c r="A12" s="14" t="s">
        <v>62</v>
      </c>
      <c r="B12" s="6" t="s">
        <v>67</v>
      </c>
      <c r="C12" s="7" t="s">
        <v>30</v>
      </c>
      <c r="D12" s="7" t="s">
        <v>68</v>
      </c>
      <c r="E12" s="11" t="str">
        <f aca="false">IFERROR(IF(OR(Variables!$C$57="" ,ISBLANK(Variables!$C$6)),"Sin dato",Variables!$C$57/Variables!$C$6),"Sin dato")</f>
        <v>Sin dato</v>
      </c>
      <c r="F12" s="7" t="s">
        <v>69</v>
      </c>
      <c r="G12" s="7" t="s">
        <v>70</v>
      </c>
      <c r="H12" s="7" t="s">
        <v>71</v>
      </c>
      <c r="I12" s="7" t="s">
        <v>72</v>
      </c>
      <c r="J12" s="7" t="s">
        <v>73</v>
      </c>
      <c r="K12" s="9" t="str">
        <f aca="false">IF(E12="Sin dato","Sin dato",IF(E12&gt;=Q12,5,IF(E12&gt;=P12,4,IF(E12&gt;=O12,3,IF(E12&gt;=N12,2,1)))))</f>
        <v>Sin dato</v>
      </c>
      <c r="M12" s="2" t="s">
        <v>28</v>
      </c>
      <c r="N12" s="12" t="n">
        <v>0.1</v>
      </c>
      <c r="O12" s="12" t="n">
        <v>0.2</v>
      </c>
      <c r="P12" s="12" t="n">
        <v>0.5</v>
      </c>
      <c r="Q12" s="12" t="n">
        <v>0.8</v>
      </c>
    </row>
    <row r="13" customFormat="false" ht="31.5" hidden="false" customHeight="true" outlineLevel="0" collapsed="false">
      <c r="A13" s="15" t="s">
        <v>74</v>
      </c>
      <c r="B13" s="6" t="s">
        <v>75</v>
      </c>
      <c r="C13" s="7" t="s">
        <v>30</v>
      </c>
      <c r="D13" s="7" t="s">
        <v>76</v>
      </c>
      <c r="E13" s="11" t="str">
        <f aca="false">IFERROR(IF(OR(ISBLANK(Variables!$C$32)),"Sin dato",Variables!$C$32),"Sin dato")</f>
        <v>Sin dato</v>
      </c>
      <c r="F13" s="7" t="s">
        <v>77</v>
      </c>
      <c r="G13" s="7" t="s">
        <v>78</v>
      </c>
      <c r="H13" s="7" t="s">
        <v>79</v>
      </c>
      <c r="I13" s="7" t="s">
        <v>80</v>
      </c>
      <c r="J13" s="7" t="s">
        <v>81</v>
      </c>
      <c r="K13" s="9" t="str">
        <f aca="false">IF(E13="Sin dato","Sin dato",IF(E13&gt;=Q13,5,IF(E13&gt;=P13,4,IF(E13&gt;=O13,3,IF(E13&gt;=N13,2,1)))))</f>
        <v>Sin dato</v>
      </c>
      <c r="M13" s="2" t="s">
        <v>28</v>
      </c>
      <c r="N13" s="12" t="n">
        <v>0.2</v>
      </c>
      <c r="O13" s="12" t="n">
        <v>0.4</v>
      </c>
      <c r="P13" s="12" t="n">
        <v>0.55</v>
      </c>
      <c r="Q13" s="12" t="n">
        <v>0.7</v>
      </c>
    </row>
    <row r="14" customFormat="false" ht="31.5" hidden="false" customHeight="true" outlineLevel="0" collapsed="false">
      <c r="A14" s="15" t="s">
        <v>74</v>
      </c>
      <c r="B14" s="6" t="s">
        <v>82</v>
      </c>
      <c r="C14" s="7" t="s">
        <v>30</v>
      </c>
      <c r="D14" s="7" t="s">
        <v>83</v>
      </c>
      <c r="E14" s="11" t="str">
        <f aca="false">IFERROR(IF(OR(ISBLANK(Variables!$C$31)),"Sin dato",Variables!$C$31),"Sin dato")</f>
        <v>Sin dato</v>
      </c>
      <c r="F14" s="7" t="s">
        <v>69</v>
      </c>
      <c r="G14" s="7" t="s">
        <v>84</v>
      </c>
      <c r="H14" s="7" t="s">
        <v>85</v>
      </c>
      <c r="I14" s="7" t="s">
        <v>86</v>
      </c>
      <c r="J14" s="7" t="s">
        <v>81</v>
      </c>
      <c r="K14" s="9" t="str">
        <f aca="false">IF(E14="Sin dato","Sin dato",IF(E14&gt;=Q14,5,IF(E14&gt;=P14,4,IF(E14&gt;=O14,3,IF(E14&gt;=N14,2,1)))))</f>
        <v>Sin dato</v>
      </c>
      <c r="M14" s="2" t="s">
        <v>28</v>
      </c>
      <c r="N14" s="12" t="n">
        <v>0.1</v>
      </c>
      <c r="O14" s="12" t="n">
        <v>0.25</v>
      </c>
      <c r="P14" s="12" t="n">
        <v>0.5</v>
      </c>
      <c r="Q14" s="12" t="n">
        <v>0.7</v>
      </c>
    </row>
    <row r="15" customFormat="false" ht="31.5" hidden="false" customHeight="true" outlineLevel="0" collapsed="false">
      <c r="A15" s="15" t="s">
        <v>74</v>
      </c>
      <c r="B15" s="6" t="s">
        <v>87</v>
      </c>
      <c r="C15" s="7" t="s">
        <v>30</v>
      </c>
      <c r="D15" s="7" t="s">
        <v>88</v>
      </c>
      <c r="E15" s="11" t="str">
        <f aca="false">IFERROR(IF(OR(ISBLANK(Variables!$C$27)),"Sin dato",Variables!$C$27),"Sin dato")</f>
        <v>Sin dato</v>
      </c>
      <c r="F15" s="7" t="s">
        <v>47</v>
      </c>
      <c r="G15" s="7" t="s">
        <v>48</v>
      </c>
      <c r="H15" s="7" t="s">
        <v>49</v>
      </c>
      <c r="I15" s="7" t="s">
        <v>50</v>
      </c>
      <c r="J15" s="7" t="s">
        <v>51</v>
      </c>
      <c r="K15" s="9" t="str">
        <f aca="false">IF(E15="Sin dato","Sin dato",IF(E15&gt;=Q15,5,IF(E15&gt;=P15,4,IF(E15&gt;=O15,3,IF(E15&gt;=N15,2,1)))))</f>
        <v>Sin dato</v>
      </c>
      <c r="M15" s="2" t="s">
        <v>28</v>
      </c>
      <c r="N15" s="12" t="n">
        <v>0.3</v>
      </c>
      <c r="O15" s="12" t="n">
        <v>0.5</v>
      </c>
      <c r="P15" s="12" t="n">
        <v>0.75</v>
      </c>
      <c r="Q15" s="12" t="n">
        <v>0.9</v>
      </c>
    </row>
    <row r="16" customFormat="false" ht="31.5" hidden="false" customHeight="true" outlineLevel="0" collapsed="false">
      <c r="A16" s="16" t="s">
        <v>89</v>
      </c>
      <c r="B16" s="6" t="s">
        <v>90</v>
      </c>
      <c r="C16" s="7" t="s">
        <v>30</v>
      </c>
      <c r="D16" s="7" t="s">
        <v>91</v>
      </c>
      <c r="E16" s="11" t="str">
        <f aca="false">IFERROR(IF(OR(ISBLANK(Variables!$C$36) ,ISBLANK(Variables!$C$35)),"Sin dato",Variables!$C$36/Variables!$C$35),"Sin dato")</f>
        <v>Sin dato</v>
      </c>
      <c r="F16" s="7" t="s">
        <v>92</v>
      </c>
      <c r="G16" s="7" t="s">
        <v>93</v>
      </c>
      <c r="H16" s="7" t="s">
        <v>94</v>
      </c>
      <c r="I16" s="7" t="s">
        <v>95</v>
      </c>
      <c r="J16" s="7" t="s">
        <v>66</v>
      </c>
      <c r="K16" s="9" t="str">
        <f aca="false">IF(E16="Sin dato","Sin dato",IF(E16&gt;=Q16,5,IF(E16&gt;=P16,4,IF(E16&gt;=O16,3,IF(E16&gt;=N16,2,1)))))</f>
        <v>Sin dato</v>
      </c>
      <c r="M16" s="2" t="s">
        <v>28</v>
      </c>
      <c r="N16" s="12" t="n">
        <v>0.6</v>
      </c>
      <c r="O16" s="12" t="n">
        <v>0.7</v>
      </c>
      <c r="P16" s="12" t="n">
        <v>0.9</v>
      </c>
      <c r="Q16" s="12" t="n">
        <v>0.95</v>
      </c>
    </row>
    <row r="17" customFormat="false" ht="31.5" hidden="false" customHeight="true" outlineLevel="0" collapsed="false">
      <c r="A17" s="16" t="s">
        <v>89</v>
      </c>
      <c r="B17" s="6" t="s">
        <v>96</v>
      </c>
      <c r="C17" s="7" t="s">
        <v>30</v>
      </c>
      <c r="D17" s="7" t="s">
        <v>97</v>
      </c>
      <c r="E17" s="11" t="str">
        <f aca="false">IFERROR(IF(OR(ISBLANK(Variables!$C$11) ,ISBLANK(Variables!$C$10)),"Sin dato",Variables!$C$11/Variables!$C$10),"Sin dato")</f>
        <v>Sin dato</v>
      </c>
      <c r="F17" s="7" t="s">
        <v>98</v>
      </c>
      <c r="G17" s="7" t="s">
        <v>34</v>
      </c>
      <c r="H17" s="7" t="s">
        <v>99</v>
      </c>
      <c r="I17" s="7" t="s">
        <v>57</v>
      </c>
      <c r="J17" s="7" t="s">
        <v>66</v>
      </c>
      <c r="K17" s="9" t="str">
        <f aca="false">IF(E17="Sin dato","Sin dato",IF(E17&gt;=Q17,5,IF(E17&gt;=P17,4,IF(E17&gt;=O17,3,IF(E17&gt;=N17,2,1)))))</f>
        <v>Sin dato</v>
      </c>
      <c r="M17" s="2" t="s">
        <v>28</v>
      </c>
      <c r="N17" s="12" t="n">
        <v>0.25</v>
      </c>
      <c r="O17" s="12" t="n">
        <v>0.6</v>
      </c>
      <c r="P17" s="12" t="n">
        <v>0.85</v>
      </c>
      <c r="Q17" s="12" t="n">
        <v>0.95</v>
      </c>
    </row>
    <row r="18" customFormat="false" ht="31.5" hidden="false" customHeight="true" outlineLevel="0" collapsed="false">
      <c r="A18" s="16" t="s">
        <v>89</v>
      </c>
      <c r="B18" s="6" t="s">
        <v>100</v>
      </c>
      <c r="C18" s="7" t="s">
        <v>30</v>
      </c>
      <c r="D18" s="7" t="s">
        <v>101</v>
      </c>
      <c r="E18" s="11" t="str">
        <f aca="false">IFERROR(IF(OR(ISBLANK(Variables!$C$33)),"Sin dato",Variables!$C$33),"Sin dato")</f>
        <v>Sin dato</v>
      </c>
      <c r="F18" s="7" t="s">
        <v>92</v>
      </c>
      <c r="G18" s="7" t="s">
        <v>102</v>
      </c>
      <c r="H18" s="7" t="s">
        <v>103</v>
      </c>
      <c r="I18" s="7" t="s">
        <v>95</v>
      </c>
      <c r="J18" s="7" t="s">
        <v>66</v>
      </c>
      <c r="K18" s="9" t="str">
        <f aca="false">IF(E18="Sin dato","Sin dato",IF(E18&gt;=Q18,5,IF(E18&gt;=P18,4,IF(E18&gt;=O18,3,IF(E18&gt;=N18,2,1)))))</f>
        <v>Sin dato</v>
      </c>
      <c r="M18" s="2" t="s">
        <v>28</v>
      </c>
      <c r="N18" s="12" t="n">
        <v>0.6</v>
      </c>
      <c r="O18" s="12" t="n">
        <v>0.8</v>
      </c>
      <c r="P18" s="12" t="n">
        <v>0.9</v>
      </c>
      <c r="Q18" s="12" t="n">
        <v>0.95</v>
      </c>
    </row>
    <row r="19" customFormat="false" ht="31.5" hidden="false" customHeight="true" outlineLevel="0" collapsed="false">
      <c r="A19" s="5" t="s">
        <v>104</v>
      </c>
      <c r="B19" s="6" t="s">
        <v>105</v>
      </c>
      <c r="C19" s="7" t="s">
        <v>106</v>
      </c>
      <c r="D19" s="7" t="s">
        <v>107</v>
      </c>
      <c r="E19" s="8" t="n">
        <f aca="false">IFERROR(IF(OR(Variables!$C$58="" ,ISBLANK(Variables!$C$10) ,ISBLANK(Variables!$C$19)),"Sin dato",Variables!$C$58*1000/365/Variables!$C$10/Variables!$C$19),"Sin dato")</f>
        <v>16.1504141908306</v>
      </c>
      <c r="F19" s="7" t="s">
        <v>108</v>
      </c>
      <c r="G19" s="7" t="s">
        <v>109</v>
      </c>
      <c r="H19" s="7" t="s">
        <v>110</v>
      </c>
      <c r="I19" s="7" t="s">
        <v>111</v>
      </c>
      <c r="J19" s="7" t="s">
        <v>112</v>
      </c>
      <c r="K19" s="9" t="n">
        <f aca="false">IF(E19="Sin dato","Sin dato",IF(E19&lt;=Q19,5,IF(E19&lt;=P19,4,IF(E19&lt;=O19,3,IF(E19&lt;=N19,2,1)))))</f>
        <v>3</v>
      </c>
      <c r="M19" s="2" t="s">
        <v>113</v>
      </c>
      <c r="N19" s="10" t="n">
        <v>50</v>
      </c>
      <c r="O19" s="10" t="n">
        <v>25</v>
      </c>
      <c r="P19" s="10" t="n">
        <v>12</v>
      </c>
      <c r="Q19" s="10" t="n">
        <v>6</v>
      </c>
    </row>
    <row r="20" customFormat="false" ht="31.5" hidden="false" customHeight="true" outlineLevel="0" collapsed="false">
      <c r="A20" s="5" t="s">
        <v>104</v>
      </c>
      <c r="B20" s="6" t="s">
        <v>114</v>
      </c>
      <c r="C20" s="7" t="s">
        <v>30</v>
      </c>
      <c r="D20" s="7" t="s">
        <v>115</v>
      </c>
      <c r="E20" s="11" t="n">
        <f aca="false">IFERROR(IF(OR(Variables!$C$58="" ,ISBLANK(Variables!$C$15)),"Sin dato",Variables!$C$58/Variables!$C$15),"Sin dato")</f>
        <v>0.31331592689295</v>
      </c>
      <c r="F20" s="7" t="s">
        <v>116</v>
      </c>
      <c r="G20" s="7" t="s">
        <v>117</v>
      </c>
      <c r="H20" s="7" t="s">
        <v>70</v>
      </c>
      <c r="I20" s="7" t="s">
        <v>118</v>
      </c>
      <c r="J20" s="7" t="s">
        <v>119</v>
      </c>
      <c r="K20" s="9" t="n">
        <f aca="false">IF(E20="Sin dato","Sin dato",IF(E20&lt;=Q20,5,IF(E20&lt;=P20,4,IF(E20&lt;=O20,3,IF(E20&lt;=N20,2,1)))))</f>
        <v>1</v>
      </c>
      <c r="M20" s="2" t="s">
        <v>113</v>
      </c>
      <c r="N20" s="12" t="n">
        <v>0.3</v>
      </c>
      <c r="O20" s="12" t="n">
        <v>0.2</v>
      </c>
      <c r="P20" s="12" t="n">
        <v>0.1</v>
      </c>
      <c r="Q20" s="12" t="n">
        <v>0.05</v>
      </c>
    </row>
    <row r="21" customFormat="false" ht="31.5" hidden="false" customHeight="true" outlineLevel="0" collapsed="false">
      <c r="A21" s="5" t="s">
        <v>104</v>
      </c>
      <c r="B21" s="6" t="s">
        <v>120</v>
      </c>
      <c r="C21" s="7" t="s">
        <v>121</v>
      </c>
      <c r="D21" s="7" t="s">
        <v>122</v>
      </c>
      <c r="E21" s="8" t="str">
        <f aca="false">IFERROR(IF(OR(ISBLANK(Variables!$C$29) ,ISBLANK(Variables!$C$28)),"Sin dato",Variables!$C$29/Variables!$C$28*100),"Sin dato")</f>
        <v>Sin dato</v>
      </c>
      <c r="F21" s="7" t="s">
        <v>123</v>
      </c>
      <c r="G21" s="7" t="s">
        <v>124</v>
      </c>
      <c r="H21" s="7" t="s">
        <v>125</v>
      </c>
      <c r="I21" s="7" t="s">
        <v>126</v>
      </c>
      <c r="J21" s="7" t="s">
        <v>127</v>
      </c>
      <c r="K21" s="9" t="str">
        <f aca="false">IF(E21="Sin dato","Sin dato",IF(E21&lt;=Q21,5,IF(E21&lt;=P21,4,IF(E21&lt;=O21,3,IF(E21&lt;=N21,2,1)))))</f>
        <v>Sin dato</v>
      </c>
      <c r="M21" s="2" t="s">
        <v>113</v>
      </c>
      <c r="N21" s="10" t="n">
        <v>30</v>
      </c>
      <c r="O21" s="10" t="n">
        <v>20</v>
      </c>
      <c r="P21" s="10" t="n">
        <v>10</v>
      </c>
      <c r="Q21" s="10" t="n">
        <v>5</v>
      </c>
    </row>
    <row r="22" customFormat="false" ht="31.5" hidden="false" customHeight="true" outlineLevel="0" collapsed="false">
      <c r="A22" s="13" t="s">
        <v>128</v>
      </c>
      <c r="B22" s="6" t="s">
        <v>129</v>
      </c>
      <c r="C22" s="7" t="s">
        <v>30</v>
      </c>
      <c r="D22" s="7" t="s">
        <v>130</v>
      </c>
      <c r="E22" s="11" t="n">
        <f aca="false">IFERROR(IF(OR(Variables!$C$59="" ,ISBLANK(Variables!$C$35)),"Sin dato",Variables!$C$59/Variables!$C$35),"Sin dato")</f>
        <v>-0.140684663326805</v>
      </c>
      <c r="F22" s="7" t="s">
        <v>131</v>
      </c>
      <c r="G22" s="7" t="s">
        <v>132</v>
      </c>
      <c r="H22" s="7" t="s">
        <v>133</v>
      </c>
      <c r="I22" s="7" t="s">
        <v>134</v>
      </c>
      <c r="J22" s="7" t="s">
        <v>135</v>
      </c>
      <c r="K22" s="9" t="n">
        <f aca="false">IF(E22="Sin dato","Sin dato",IF(E22&gt;=Q22,5,IF(E22&gt;=P22,4,IF(E22&gt;=O22,3,IF(E22&gt;=N22,2,1)))))</f>
        <v>1</v>
      </c>
      <c r="M22" s="2" t="s">
        <v>28</v>
      </c>
      <c r="N22" s="12" t="n">
        <v>0</v>
      </c>
      <c r="O22" s="12" t="n">
        <v>0.05</v>
      </c>
      <c r="P22" s="12" t="n">
        <v>0.19</v>
      </c>
      <c r="Q22" s="12" t="n">
        <v>0.3</v>
      </c>
    </row>
    <row r="23" customFormat="false" ht="31.5" hidden="false" customHeight="true" outlineLevel="0" collapsed="false">
      <c r="A23" s="13" t="s">
        <v>128</v>
      </c>
      <c r="B23" s="6" t="s">
        <v>136</v>
      </c>
      <c r="C23" s="7" t="s">
        <v>30</v>
      </c>
      <c r="D23" s="7" t="s">
        <v>137</v>
      </c>
      <c r="E23" s="11" t="n">
        <f aca="false">IFERROR(IF(OR(ISBLANK(Variables!$C$35) ,ISBLANK(Variables!$C$38)),"Sin dato",Variables!$C$35/Variables!$C$38),"Sin dato")</f>
        <v>0.876666472470579</v>
      </c>
      <c r="F23" s="7" t="s">
        <v>92</v>
      </c>
      <c r="G23" s="7" t="s">
        <v>102</v>
      </c>
      <c r="H23" s="7" t="s">
        <v>103</v>
      </c>
      <c r="I23" s="7" t="s">
        <v>138</v>
      </c>
      <c r="J23" s="7" t="s">
        <v>36</v>
      </c>
      <c r="K23" s="9" t="n">
        <f aca="false">IF(E23="Sin dato","Sin dato",IF(E23&gt;=Q23,5,IF(E23&gt;=P23,4,IF(E23&gt;=O23,3,IF(E23&gt;=N23,2,1)))))</f>
        <v>3</v>
      </c>
      <c r="M23" s="2" t="s">
        <v>28</v>
      </c>
      <c r="N23" s="12" t="n">
        <v>0.6</v>
      </c>
      <c r="O23" s="12" t="n">
        <v>0.8</v>
      </c>
      <c r="P23" s="12" t="n">
        <v>0.9</v>
      </c>
      <c r="Q23" s="12" t="n">
        <v>1</v>
      </c>
    </row>
    <row r="24" customFormat="false" ht="31.5" hidden="false" customHeight="true" outlineLevel="0" collapsed="false">
      <c r="A24" s="14" t="s">
        <v>139</v>
      </c>
      <c r="B24" s="6" t="s">
        <v>140</v>
      </c>
      <c r="C24" s="7" t="s">
        <v>141</v>
      </c>
      <c r="D24" s="7" t="s">
        <v>142</v>
      </c>
      <c r="E24" s="17" t="n">
        <f aca="false">IFERROR(IF(OR(ISBLANK(Variables!$C$48) ,ISBLANK(Variables!$C$10)),"Sin dato",Variables!$C$48/(Variables!$C$10+N(Variables!$C$22))*1000),"Sin dato")</f>
        <v>1.39297322395914</v>
      </c>
      <c r="F24" s="7" t="s">
        <v>143</v>
      </c>
      <c r="G24" s="7" t="s">
        <v>144</v>
      </c>
      <c r="H24" s="7" t="s">
        <v>145</v>
      </c>
      <c r="I24" s="7" t="s">
        <v>146</v>
      </c>
      <c r="J24" s="7" t="s">
        <v>147</v>
      </c>
      <c r="K24" s="9" t="n">
        <f aca="false">IF(E24="Sin dato","Sin dato",IF(E24&lt;=Q24,5,IF(E24&lt;=P24,4,IF(E24&lt;=O24,3,IF(E24&lt;=N24,2,1)))))</f>
        <v>5</v>
      </c>
      <c r="M24" s="2" t="s">
        <v>113</v>
      </c>
      <c r="N24" s="18" t="n">
        <v>10</v>
      </c>
      <c r="O24" s="18" t="n">
        <v>6</v>
      </c>
      <c r="P24" s="18" t="n">
        <v>5</v>
      </c>
      <c r="Q24" s="18" t="n">
        <v>3</v>
      </c>
    </row>
    <row r="25" customFormat="false" ht="31.5" hidden="false" customHeight="true" outlineLevel="0" collapsed="false">
      <c r="A25" s="14" t="s">
        <v>139</v>
      </c>
      <c r="B25" s="6" t="s">
        <v>148</v>
      </c>
      <c r="C25" s="7" t="s">
        <v>30</v>
      </c>
      <c r="D25" s="7" t="s">
        <v>149</v>
      </c>
      <c r="E25" s="11" t="str">
        <f aca="false">IFERROR(IF(OR(ISBLANK(Variables!$C$54) ,ISBLANK(Variables!$C$48)),"Sin dato",Variables!$C$54/Variables!$C$48),"Sin dato")</f>
        <v>Sin dato</v>
      </c>
      <c r="F25" s="7" t="s">
        <v>150</v>
      </c>
      <c r="G25" s="7" t="s">
        <v>151</v>
      </c>
      <c r="H25" s="7" t="s">
        <v>152</v>
      </c>
      <c r="I25" s="7" t="s">
        <v>153</v>
      </c>
      <c r="J25" s="7" t="s">
        <v>154</v>
      </c>
      <c r="K25" s="9" t="str">
        <f aca="false">IF(E25="Sin dato","Sin dato",IF(E25&lt;=Q25,5,IF(E25&lt;=P25,4,IF(E25&lt;=O25,3,IF(E25&lt;=N25,2,1)))))</f>
        <v>Sin dato</v>
      </c>
      <c r="M25" s="2" t="s">
        <v>113</v>
      </c>
      <c r="N25" s="12" t="n">
        <v>0.1</v>
      </c>
      <c r="O25" s="12" t="n">
        <v>0.07</v>
      </c>
      <c r="P25" s="12" t="n">
        <v>0.05</v>
      </c>
      <c r="Q25" s="12" t="n">
        <v>0.03</v>
      </c>
    </row>
    <row r="26" customFormat="false" ht="31.5" hidden="false" customHeight="true" outlineLevel="0" collapsed="false">
      <c r="A26" s="14" t="s">
        <v>139</v>
      </c>
      <c r="B26" s="6" t="s">
        <v>155</v>
      </c>
      <c r="C26" s="7" t="s">
        <v>30</v>
      </c>
      <c r="D26" s="7" t="s">
        <v>156</v>
      </c>
      <c r="E26" s="11" t="str">
        <f aca="false">IFERROR(IF(OR(ISBLANK(Variables!$C$40) ,ISBLANK(Variables!$C$38)),"Sin dato",Variables!$C$40/Variables!$C$38),"Sin dato")</f>
        <v>Sin dato</v>
      </c>
      <c r="F26" s="7" t="s">
        <v>157</v>
      </c>
      <c r="G26" s="7"/>
      <c r="H26" s="7"/>
      <c r="I26" s="7"/>
      <c r="J26" s="7"/>
      <c r="K26" s="9" t="str">
        <f aca="false">IF(E26="Sin dato","Sin dato","—")</f>
        <v>Sin dato</v>
      </c>
    </row>
    <row r="28" customFormat="false" ht="15.75" hidden="false" customHeight="true" outlineLevel="0" collapsed="false">
      <c r="A28" s="19" t="s">
        <v>158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customFormat="false" ht="27.75" hidden="false" customHeight="true" outlineLevel="0" collapsed="false">
      <c r="A29" s="20" t="s">
        <v>159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customFormat="false" ht="27.75" hidden="false" customHeight="true" outlineLevel="0" collapsed="false">
      <c r="A30" s="20" t="s">
        <v>160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customFormat="false" ht="27.75" hidden="false" customHeight="true" outlineLevel="0" collapsed="false">
      <c r="A31" s="20" t="s">
        <v>161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customFormat="false" ht="27.75" hidden="false" customHeight="true" outlineLevel="0" collapsed="false">
      <c r="A32" s="20" t="s">
        <v>162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customFormat="false" ht="27.75" hidden="false" customHeight="true" outlineLevel="0" collapsed="false">
      <c r="A33" s="20" t="s">
        <v>163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</row>
  </sheetData>
  <mergeCells count="7">
    <mergeCell ref="F26:J26"/>
    <mergeCell ref="A28:K28"/>
    <mergeCell ref="A29:K29"/>
    <mergeCell ref="A30:K30"/>
    <mergeCell ref="A31:K31"/>
    <mergeCell ref="A32:K32"/>
    <mergeCell ref="A33:K33"/>
  </mergeCells>
  <conditionalFormatting sqref="F5:J26">
    <cfRule type="expression" priority="2" aboveAverage="0" equalAverage="0" bottom="0" percent="0" rank="0" text="" dxfId="0">
      <formula>COLUMN(F5)-COLUMN($F$5)+1=$K5</formula>
    </cfRule>
  </conditionalFormatting>
  <conditionalFormatting sqref="K5:K26">
    <cfRule type="expression" priority="3" aboveAverage="0" equalAverage="0" bottom="0" percent="0" rank="0" text="" dxfId="1">
      <formula>$K5=1</formula>
    </cfRule>
    <cfRule type="expression" priority="4" aboveAverage="0" equalAverage="0" bottom="0" percent="0" rank="0" text="" dxfId="2">
      <formula>$K5=2</formula>
    </cfRule>
    <cfRule type="expression" priority="5" aboveAverage="0" equalAverage="0" bottom="0" percent="0" rank="0" text="" dxfId="3">
      <formula>$K5=3</formula>
    </cfRule>
    <cfRule type="expression" priority="6" aboveAverage="0" equalAverage="0" bottom="0" percent="0" rank="0" text="" dxfId="4">
      <formula>$K5=4</formula>
    </cfRule>
    <cfRule type="expression" priority="7" aboveAverage="0" equalAverage="0" bottom="0" percent="0" rank="0" text="" dxfId="5">
      <formula>$K5=5</formula>
    </cfRule>
    <cfRule type="expression" priority="8" aboveAverage="0" equalAverage="0" bottom="0" percent="0" rank="0" text="" dxfId="6">
      <formula>$K5="Sin dato"</formula>
    </cfRule>
  </conditionalFormatting>
  <conditionalFormatting sqref="E5:E26">
    <cfRule type="expression" priority="9" aboveAverage="0" equalAverage="0" bottom="0" percent="0" rank="0" text="" dxfId="6">
      <formula>$E5="Sin dato"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3" t="s">
        <v>166</v>
      </c>
      <c r="B4" s="3" t="s">
        <v>5</v>
      </c>
      <c r="C4" s="3" t="s">
        <v>167</v>
      </c>
      <c r="D4" s="3" t="s">
        <v>168</v>
      </c>
      <c r="E4" s="3" t="s">
        <v>169</v>
      </c>
    </row>
    <row r="5" customFormat="false" ht="15" hidden="false" customHeight="false" outlineLevel="0" collapsed="false">
      <c r="A5" s="21" t="s">
        <v>170</v>
      </c>
      <c r="B5" s="22"/>
      <c r="C5" s="22"/>
      <c r="D5" s="22"/>
      <c r="E5" s="22"/>
    </row>
    <row r="6" customFormat="false" ht="26.85" hidden="false" customHeight="false" outlineLevel="0" collapsed="false">
      <c r="A6" s="6" t="s">
        <v>171</v>
      </c>
      <c r="B6" s="6" t="s">
        <v>172</v>
      </c>
      <c r="C6" s="23" t="n">
        <v>106120</v>
      </c>
      <c r="D6" s="6" t="s">
        <v>173</v>
      </c>
      <c r="E6" s="6" t="s">
        <v>174</v>
      </c>
    </row>
    <row r="7" customFormat="false" ht="15" hidden="false" customHeight="false" outlineLevel="0" collapsed="false">
      <c r="A7" s="6" t="s">
        <v>175</v>
      </c>
      <c r="B7" s="6" t="s">
        <v>172</v>
      </c>
      <c r="C7" s="24" t="n">
        <v>4.5</v>
      </c>
      <c r="D7" s="6" t="s">
        <v>173</v>
      </c>
      <c r="E7" s="6" t="s">
        <v>176</v>
      </c>
    </row>
    <row r="8" customFormat="false" ht="15" hidden="false" customHeight="false" outlineLevel="0" collapsed="false">
      <c r="A8" s="6" t="s">
        <v>177</v>
      </c>
      <c r="B8" s="6" t="s">
        <v>172</v>
      </c>
      <c r="C8" s="25"/>
      <c r="D8" s="6" t="s">
        <v>178</v>
      </c>
      <c r="E8" s="6" t="s">
        <v>179</v>
      </c>
    </row>
    <row r="9" customFormat="false" ht="15" hidden="false" customHeight="false" outlineLevel="0" collapsed="false">
      <c r="A9" s="21" t="s">
        <v>180</v>
      </c>
      <c r="B9" s="22"/>
      <c r="C9" s="22"/>
      <c r="D9" s="22"/>
      <c r="E9" s="22"/>
    </row>
    <row r="10" customFormat="false" ht="15" hidden="false" customHeight="false" outlineLevel="0" collapsed="false">
      <c r="A10" s="6" t="s">
        <v>181</v>
      </c>
      <c r="B10" s="6" t="s">
        <v>182</v>
      </c>
      <c r="C10" s="23" t="n">
        <v>6461</v>
      </c>
      <c r="D10" s="6" t="s">
        <v>173</v>
      </c>
      <c r="E10" s="6" t="s">
        <v>183</v>
      </c>
    </row>
    <row r="11" customFormat="false" ht="15" hidden="false" customHeight="false" outlineLevel="0" collapsed="false">
      <c r="A11" s="6" t="s">
        <v>184</v>
      </c>
      <c r="B11" s="6" t="s">
        <v>182</v>
      </c>
      <c r="C11" s="25"/>
      <c r="D11" s="6" t="s">
        <v>178</v>
      </c>
      <c r="E11" s="6" t="s">
        <v>185</v>
      </c>
    </row>
    <row r="12" customFormat="false" ht="15" hidden="false" customHeight="false" outlineLevel="0" collapsed="false">
      <c r="A12" s="6" t="s">
        <v>186</v>
      </c>
      <c r="B12" s="6" t="s">
        <v>182</v>
      </c>
      <c r="C12" s="25"/>
      <c r="D12" s="6" t="s">
        <v>178</v>
      </c>
      <c r="E12" s="6"/>
    </row>
    <row r="13" customFormat="false" ht="15" hidden="false" customHeight="false" outlineLevel="0" collapsed="false">
      <c r="A13" s="6" t="s">
        <v>187</v>
      </c>
      <c r="B13" s="6" t="s">
        <v>182</v>
      </c>
      <c r="C13" s="23" t="n">
        <v>6390</v>
      </c>
      <c r="D13" s="6" t="s">
        <v>188</v>
      </c>
      <c r="E13" s="6" t="s">
        <v>189</v>
      </c>
    </row>
    <row r="14" customFormat="false" ht="15" hidden="false" customHeight="false" outlineLevel="0" collapsed="false">
      <c r="A14" s="6" t="s">
        <v>190</v>
      </c>
      <c r="B14" s="6" t="s">
        <v>182</v>
      </c>
      <c r="C14" s="25"/>
      <c r="D14" s="6" t="s">
        <v>178</v>
      </c>
      <c r="E14" s="6"/>
    </row>
    <row r="15" customFormat="false" ht="15" hidden="false" customHeight="false" outlineLevel="0" collapsed="false">
      <c r="A15" s="6" t="s">
        <v>191</v>
      </c>
      <c r="B15" s="6" t="s">
        <v>192</v>
      </c>
      <c r="C15" s="23" t="n">
        <v>2795900</v>
      </c>
      <c r="D15" s="6" t="s">
        <v>188</v>
      </c>
      <c r="E15" s="6" t="s">
        <v>193</v>
      </c>
    </row>
    <row r="16" customFormat="false" ht="26.85" hidden="false" customHeight="false" outlineLevel="0" collapsed="false">
      <c r="A16" s="6" t="s">
        <v>194</v>
      </c>
      <c r="B16" s="6" t="s">
        <v>192</v>
      </c>
      <c r="C16" s="23" t="n">
        <v>1919900</v>
      </c>
      <c r="D16" s="6" t="s">
        <v>188</v>
      </c>
      <c r="E16" s="6" t="s">
        <v>195</v>
      </c>
    </row>
    <row r="17" customFormat="false" ht="15" hidden="false" customHeight="false" outlineLevel="0" collapsed="false">
      <c r="A17" s="6" t="s">
        <v>196</v>
      </c>
      <c r="B17" s="6" t="s">
        <v>192</v>
      </c>
      <c r="C17" s="23" t="n">
        <v>1884500</v>
      </c>
      <c r="D17" s="6" t="s">
        <v>188</v>
      </c>
      <c r="E17" s="6" t="s">
        <v>197</v>
      </c>
    </row>
    <row r="18" customFormat="false" ht="15" hidden="false" customHeight="false" outlineLevel="0" collapsed="false">
      <c r="A18" s="6" t="s">
        <v>29</v>
      </c>
      <c r="B18" s="6" t="s">
        <v>30</v>
      </c>
      <c r="C18" s="26"/>
      <c r="D18" s="6" t="s">
        <v>178</v>
      </c>
      <c r="E18" s="6"/>
    </row>
    <row r="19" customFormat="false" ht="15" hidden="false" customHeight="false" outlineLevel="0" collapsed="false">
      <c r="A19" s="6" t="s">
        <v>20</v>
      </c>
      <c r="B19" s="6" t="s">
        <v>198</v>
      </c>
      <c r="C19" s="24" t="n">
        <v>23</v>
      </c>
      <c r="D19" s="6" t="s">
        <v>199</v>
      </c>
      <c r="E19" s="6" t="s">
        <v>200</v>
      </c>
    </row>
    <row r="20" customFormat="false" ht="15" hidden="false" customHeight="false" outlineLevel="0" collapsed="false">
      <c r="A20" s="6" t="s">
        <v>201</v>
      </c>
      <c r="B20" s="6" t="s">
        <v>30</v>
      </c>
      <c r="C20" s="27" t="n">
        <v>0.9</v>
      </c>
      <c r="D20" s="6" t="s">
        <v>199</v>
      </c>
      <c r="E20" s="6" t="s">
        <v>202</v>
      </c>
    </row>
    <row r="21" customFormat="false" ht="15" hidden="false" customHeight="false" outlineLevel="0" collapsed="false">
      <c r="A21" s="21" t="s">
        <v>203</v>
      </c>
      <c r="B21" s="22"/>
      <c r="C21" s="22"/>
      <c r="D21" s="22"/>
      <c r="E21" s="22"/>
    </row>
    <row r="22" customFormat="false" ht="26.85" hidden="false" customHeight="false" outlineLevel="0" collapsed="false">
      <c r="A22" s="6" t="s">
        <v>204</v>
      </c>
      <c r="B22" s="6" t="s">
        <v>182</v>
      </c>
      <c r="C22" s="25"/>
      <c r="D22" s="6" t="s">
        <v>178</v>
      </c>
      <c r="E22" s="6" t="s">
        <v>205</v>
      </c>
    </row>
    <row r="23" customFormat="false" ht="15" hidden="false" customHeight="false" outlineLevel="0" collapsed="false">
      <c r="A23" s="6" t="s">
        <v>206</v>
      </c>
      <c r="B23" s="6" t="s">
        <v>182</v>
      </c>
      <c r="C23" s="25"/>
      <c r="D23" s="6" t="s">
        <v>178</v>
      </c>
      <c r="E23" s="6" t="s">
        <v>207</v>
      </c>
    </row>
    <row r="24" customFormat="false" ht="15" hidden="false" customHeight="false" outlineLevel="0" collapsed="false">
      <c r="A24" s="6" t="s">
        <v>208</v>
      </c>
      <c r="B24" s="6" t="s">
        <v>192</v>
      </c>
      <c r="C24" s="25"/>
      <c r="D24" s="6" t="s">
        <v>178</v>
      </c>
      <c r="E24" s="6"/>
    </row>
    <row r="25" customFormat="false" ht="15" hidden="false" customHeight="false" outlineLevel="0" collapsed="false">
      <c r="A25" s="6" t="s">
        <v>209</v>
      </c>
      <c r="B25" s="6" t="s">
        <v>192</v>
      </c>
      <c r="C25" s="25"/>
      <c r="D25" s="6" t="s">
        <v>178</v>
      </c>
      <c r="E25" s="6" t="s">
        <v>210</v>
      </c>
    </row>
    <row r="26" customFormat="false" ht="15" hidden="false" customHeight="false" outlineLevel="0" collapsed="false">
      <c r="A26" s="6" t="s">
        <v>211</v>
      </c>
      <c r="B26" s="6" t="s">
        <v>30</v>
      </c>
      <c r="C26" s="26"/>
      <c r="D26" s="6" t="s">
        <v>178</v>
      </c>
      <c r="E26" s="6"/>
    </row>
    <row r="27" customFormat="false" ht="15" hidden="false" customHeight="false" outlineLevel="0" collapsed="false">
      <c r="A27" s="6" t="s">
        <v>212</v>
      </c>
      <c r="B27" s="6" t="s">
        <v>30</v>
      </c>
      <c r="C27" s="26"/>
      <c r="D27" s="6" t="s">
        <v>178</v>
      </c>
      <c r="E27" s="6"/>
    </row>
    <row r="28" customFormat="false" ht="15" hidden="false" customHeight="false" outlineLevel="0" collapsed="false">
      <c r="A28" s="6" t="s">
        <v>213</v>
      </c>
      <c r="B28" s="6" t="s">
        <v>214</v>
      </c>
      <c r="C28" s="25"/>
      <c r="D28" s="6" t="s">
        <v>178</v>
      </c>
      <c r="E28" s="6"/>
    </row>
    <row r="29" customFormat="false" ht="15" hidden="false" customHeight="false" outlineLevel="0" collapsed="false">
      <c r="A29" s="6" t="s">
        <v>215</v>
      </c>
      <c r="B29" s="6" t="s">
        <v>182</v>
      </c>
      <c r="C29" s="25"/>
      <c r="D29" s="6" t="s">
        <v>178</v>
      </c>
      <c r="E29" s="6"/>
    </row>
    <row r="30" customFormat="false" ht="15" hidden="false" customHeight="false" outlineLevel="0" collapsed="false">
      <c r="A30" s="21" t="s">
        <v>216</v>
      </c>
      <c r="B30" s="22"/>
      <c r="C30" s="22"/>
      <c r="D30" s="22"/>
      <c r="E30" s="22"/>
    </row>
    <row r="31" customFormat="false" ht="15" hidden="false" customHeight="false" outlineLevel="0" collapsed="false">
      <c r="A31" s="6" t="s">
        <v>217</v>
      </c>
      <c r="B31" s="6" t="s">
        <v>30</v>
      </c>
      <c r="C31" s="26"/>
      <c r="D31" s="6" t="s">
        <v>178</v>
      </c>
      <c r="E31" s="6" t="s">
        <v>218</v>
      </c>
    </row>
    <row r="32" customFormat="false" ht="15" hidden="false" customHeight="false" outlineLevel="0" collapsed="false">
      <c r="A32" s="6" t="s">
        <v>219</v>
      </c>
      <c r="B32" s="6" t="s">
        <v>30</v>
      </c>
      <c r="C32" s="26"/>
      <c r="D32" s="6" t="s">
        <v>178</v>
      </c>
      <c r="E32" s="6"/>
    </row>
    <row r="33" customFormat="false" ht="15" hidden="false" customHeight="false" outlineLevel="0" collapsed="false">
      <c r="A33" s="6" t="s">
        <v>220</v>
      </c>
      <c r="B33" s="6" t="s">
        <v>30</v>
      </c>
      <c r="C33" s="26"/>
      <c r="D33" s="6" t="s">
        <v>178</v>
      </c>
      <c r="E33" s="6"/>
    </row>
    <row r="34" customFormat="false" ht="15" hidden="false" customHeight="false" outlineLevel="0" collapsed="false">
      <c r="A34" s="21" t="s">
        <v>221</v>
      </c>
      <c r="B34" s="22"/>
      <c r="C34" s="22"/>
      <c r="D34" s="22"/>
      <c r="E34" s="22"/>
    </row>
    <row r="35" customFormat="false" ht="15" hidden="false" customHeight="false" outlineLevel="0" collapsed="false">
      <c r="A35" s="6" t="s">
        <v>222</v>
      </c>
      <c r="B35" s="6" t="s">
        <v>223</v>
      </c>
      <c r="C35" s="23" t="n">
        <v>22887685.65</v>
      </c>
      <c r="D35" s="6" t="s">
        <v>173</v>
      </c>
      <c r="E35" s="6" t="s">
        <v>224</v>
      </c>
    </row>
    <row r="36" customFormat="false" ht="15" hidden="false" customHeight="false" outlineLevel="0" collapsed="false">
      <c r="A36" s="6" t="s">
        <v>225</v>
      </c>
      <c r="B36" s="6" t="s">
        <v>223</v>
      </c>
      <c r="C36" s="25"/>
      <c r="D36" s="6" t="s">
        <v>178</v>
      </c>
      <c r="E36" s="6" t="s">
        <v>226</v>
      </c>
    </row>
    <row r="37" customFormat="false" ht="15" hidden="false" customHeight="false" outlineLevel="0" collapsed="false">
      <c r="A37" s="6" t="s">
        <v>227</v>
      </c>
      <c r="B37" s="6" t="s">
        <v>223</v>
      </c>
      <c r="C37" s="25"/>
      <c r="D37" s="6" t="s">
        <v>178</v>
      </c>
      <c r="E37" s="6" t="s">
        <v>228</v>
      </c>
    </row>
    <row r="38" customFormat="false" ht="15" hidden="false" customHeight="false" outlineLevel="0" collapsed="false">
      <c r="A38" s="6" t="s">
        <v>229</v>
      </c>
      <c r="B38" s="6" t="s">
        <v>223</v>
      </c>
      <c r="C38" s="23" t="n">
        <v>26107632</v>
      </c>
      <c r="D38" s="6" t="s">
        <v>173</v>
      </c>
      <c r="E38" s="6" t="s">
        <v>230</v>
      </c>
    </row>
    <row r="39" customFormat="false" ht="15" hidden="false" customHeight="false" outlineLevel="0" collapsed="false">
      <c r="A39" s="6" t="s">
        <v>231</v>
      </c>
      <c r="B39" s="6" t="s">
        <v>223</v>
      </c>
      <c r="C39" s="25"/>
      <c r="D39" s="6" t="s">
        <v>178</v>
      </c>
      <c r="E39" s="6" t="s">
        <v>232</v>
      </c>
    </row>
    <row r="40" customFormat="false" ht="15" hidden="false" customHeight="false" outlineLevel="0" collapsed="false">
      <c r="A40" s="6" t="s">
        <v>233</v>
      </c>
      <c r="B40" s="6" t="s">
        <v>223</v>
      </c>
      <c r="C40" s="25"/>
      <c r="D40" s="6" t="s">
        <v>178</v>
      </c>
      <c r="E40" s="6" t="s">
        <v>234</v>
      </c>
    </row>
    <row r="41" customFormat="false" ht="15" hidden="false" customHeight="false" outlineLevel="0" collapsed="false">
      <c r="A41" s="6" t="s">
        <v>235</v>
      </c>
      <c r="B41" s="6" t="s">
        <v>223</v>
      </c>
      <c r="C41" s="25"/>
      <c r="D41" s="6" t="s">
        <v>178</v>
      </c>
      <c r="E41" s="6"/>
    </row>
    <row r="42" customFormat="false" ht="15" hidden="false" customHeight="false" outlineLevel="0" collapsed="false">
      <c r="A42" s="6" t="s">
        <v>236</v>
      </c>
      <c r="B42" s="6" t="s">
        <v>223</v>
      </c>
      <c r="C42" s="25"/>
      <c r="D42" s="6" t="s">
        <v>178</v>
      </c>
      <c r="E42" s="6"/>
    </row>
    <row r="43" customFormat="false" ht="15" hidden="false" customHeight="false" outlineLevel="0" collapsed="false">
      <c r="A43" s="6" t="s">
        <v>237</v>
      </c>
      <c r="B43" s="6" t="s">
        <v>223</v>
      </c>
      <c r="C43" s="25"/>
      <c r="D43" s="6" t="s">
        <v>178</v>
      </c>
      <c r="E43" s="6"/>
    </row>
    <row r="44" customFormat="false" ht="15" hidden="false" customHeight="false" outlineLevel="0" collapsed="false">
      <c r="A44" s="21" t="s">
        <v>238</v>
      </c>
      <c r="B44" s="22"/>
      <c r="C44" s="22"/>
      <c r="D44" s="22"/>
      <c r="E44" s="22"/>
    </row>
    <row r="45" customFormat="false" ht="15" hidden="false" customHeight="false" outlineLevel="0" collapsed="false">
      <c r="A45" s="6" t="s">
        <v>239</v>
      </c>
      <c r="B45" s="6" t="s">
        <v>30</v>
      </c>
      <c r="C45" s="26"/>
      <c r="D45" s="6" t="s">
        <v>178</v>
      </c>
      <c r="E45" s="6"/>
    </row>
    <row r="46" customFormat="false" ht="15" hidden="false" customHeight="false" outlineLevel="0" collapsed="false">
      <c r="A46" s="6" t="s">
        <v>240</v>
      </c>
      <c r="B46" s="6" t="s">
        <v>30</v>
      </c>
      <c r="C46" s="26"/>
      <c r="D46" s="6" t="s">
        <v>178</v>
      </c>
      <c r="E46" s="6"/>
    </row>
    <row r="47" customFormat="false" ht="15" hidden="false" customHeight="false" outlineLevel="0" collapsed="false">
      <c r="A47" s="21" t="s">
        <v>241</v>
      </c>
      <c r="B47" s="22"/>
      <c r="C47" s="22"/>
      <c r="D47" s="22"/>
      <c r="E47" s="22"/>
    </row>
    <row r="48" customFormat="false" ht="26.85" hidden="false" customHeight="false" outlineLevel="0" collapsed="false">
      <c r="A48" s="6" t="s">
        <v>242</v>
      </c>
      <c r="B48" s="6" t="s">
        <v>182</v>
      </c>
      <c r="C48" s="23" t="n">
        <v>9</v>
      </c>
      <c r="D48" s="6" t="s">
        <v>173</v>
      </c>
      <c r="E48" s="6" t="s">
        <v>243</v>
      </c>
    </row>
    <row r="49" customFormat="false" ht="15" hidden="false" customHeight="false" outlineLevel="0" collapsed="false">
      <c r="A49" s="6" t="s">
        <v>244</v>
      </c>
      <c r="B49" s="6" t="s">
        <v>182</v>
      </c>
      <c r="C49" s="23" t="n">
        <v>1</v>
      </c>
      <c r="D49" s="6" t="s">
        <v>173</v>
      </c>
      <c r="E49" s="6" t="s">
        <v>245</v>
      </c>
    </row>
    <row r="50" customFormat="false" ht="15" hidden="false" customHeight="false" outlineLevel="0" collapsed="false">
      <c r="A50" s="6" t="s">
        <v>246</v>
      </c>
      <c r="B50" s="6" t="s">
        <v>182</v>
      </c>
      <c r="C50" s="25"/>
      <c r="D50" s="6" t="s">
        <v>178</v>
      </c>
      <c r="E50" s="6" t="s">
        <v>247</v>
      </c>
    </row>
    <row r="51" customFormat="false" ht="15" hidden="false" customHeight="false" outlineLevel="0" collapsed="false">
      <c r="A51" s="6" t="s">
        <v>248</v>
      </c>
      <c r="B51" s="6" t="s">
        <v>182</v>
      </c>
      <c r="C51" s="25"/>
      <c r="D51" s="6" t="s">
        <v>178</v>
      </c>
      <c r="E51" s="6"/>
    </row>
    <row r="52" customFormat="false" ht="15" hidden="false" customHeight="false" outlineLevel="0" collapsed="false">
      <c r="A52" s="6" t="s">
        <v>249</v>
      </c>
      <c r="B52" s="6" t="s">
        <v>182</v>
      </c>
      <c r="C52" s="25"/>
      <c r="D52" s="6" t="s">
        <v>178</v>
      </c>
      <c r="E52" s="6"/>
    </row>
    <row r="53" customFormat="false" ht="15" hidden="false" customHeight="false" outlineLevel="0" collapsed="false">
      <c r="A53" s="6" t="s">
        <v>250</v>
      </c>
      <c r="B53" s="6" t="s">
        <v>182</v>
      </c>
      <c r="C53" s="25"/>
      <c r="D53" s="6" t="s">
        <v>178</v>
      </c>
      <c r="E53" s="6"/>
    </row>
    <row r="54" customFormat="false" ht="15" hidden="false" customHeight="false" outlineLevel="0" collapsed="false">
      <c r="A54" s="6" t="s">
        <v>251</v>
      </c>
      <c r="B54" s="6" t="s">
        <v>182</v>
      </c>
      <c r="C54" s="25"/>
      <c r="D54" s="6" t="s">
        <v>178</v>
      </c>
      <c r="E54" s="6"/>
    </row>
    <row r="55" customFormat="false" ht="15" hidden="false" customHeight="false" outlineLevel="0" collapsed="false">
      <c r="A55" s="21" t="s">
        <v>252</v>
      </c>
      <c r="B55" s="22"/>
      <c r="C55" s="22"/>
      <c r="D55" s="22"/>
      <c r="E55" s="22"/>
    </row>
    <row r="56" customFormat="false" ht="26.85" hidden="false" customHeight="false" outlineLevel="0" collapsed="false">
      <c r="A56" s="6" t="s">
        <v>253</v>
      </c>
      <c r="B56" s="6" t="s">
        <v>172</v>
      </c>
      <c r="C56" s="25" t="n">
        <f aca="false">IF(OR(ISBLANK(Variables!$C$7),ISBLANK(Variables!$C$13)),"",Variables!$C$7*Variables!$C$13+N(Variables!$C$8)*N(Variables!$C$14))</f>
        <v>28755</v>
      </c>
      <c r="D56" s="6" t="s">
        <v>254</v>
      </c>
      <c r="E56" s="6" t="s">
        <v>255</v>
      </c>
    </row>
    <row r="57" customFormat="false" ht="15" hidden="false" customHeight="false" outlineLevel="0" collapsed="false">
      <c r="A57" s="6" t="s">
        <v>256</v>
      </c>
      <c r="B57" s="6" t="s">
        <v>172</v>
      </c>
      <c r="C57" s="25" t="str">
        <f aca="false">IF(AND(ISBLANK(Variables!$C$22),ISBLANK(Variables!$C$23)),"",Variables!$C$7*(N(Variables!$C$22)+N(Variables!$C$23)))</f>
        <v/>
      </c>
      <c r="D57" s="6" t="s">
        <v>254</v>
      </c>
      <c r="E57" s="6" t="s">
        <v>257</v>
      </c>
    </row>
    <row r="58" customFormat="false" ht="15" hidden="false" customHeight="false" outlineLevel="0" collapsed="false">
      <c r="A58" s="6" t="s">
        <v>258</v>
      </c>
      <c r="B58" s="6" t="s">
        <v>192</v>
      </c>
      <c r="C58" s="25" t="n">
        <f aca="false">IF(OR(ISBLANK(Variables!$C$15),ISBLANK(Variables!$C$16)),"",Variables!$C$15-Variables!$C$16)</f>
        <v>876000</v>
      </c>
      <c r="D58" s="6" t="s">
        <v>254</v>
      </c>
      <c r="E58" s="6" t="s">
        <v>259</v>
      </c>
    </row>
    <row r="59" customFormat="false" ht="15" hidden="false" customHeight="false" outlineLevel="0" collapsed="false">
      <c r="A59" s="6" t="s">
        <v>260</v>
      </c>
      <c r="B59" s="6" t="s">
        <v>223</v>
      </c>
      <c r="C59" s="28" t="n">
        <f aca="false">IF(OR(ISBLANK(Variables!$C$35),ISBLANK(Variables!$C$38)),"",Variables!$C$35-Variables!$C$38)</f>
        <v>-3219946.35</v>
      </c>
      <c r="D59" s="6" t="s">
        <v>254</v>
      </c>
      <c r="E59" s="6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2026-10-15T01:10:55Z</dcterms:created>
  <dc:creator>openpyxl</dc:creator>
  <dc:description/>
  <dc:language>en-US</dc:language>
  <cp:lastModifiedBy/>
  <dcterms:modified xsi:type="dcterms:W3CDTF">2026-10-15T01:10:55Z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