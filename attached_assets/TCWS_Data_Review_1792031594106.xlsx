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Tariff_2016" sheetId="2" state="visible" r:id="rId2"/>
    <sheet xmlns:r="http://schemas.openxmlformats.org/officeDocument/2006/relationships" name="Inconsistencies" sheetId="3" state="visible" r:id="rId3"/>
    <sheet xmlns:r="http://schemas.openxmlformats.org/officeDocument/2006/relationships" name="Validation_Update" sheetId="4" state="visible" r:id="rId4"/>
  </sheets>
  <definedNames>
    <definedName name="_xlnm._FilterDatabase" localSheetId="0" hidden="1">'Historical_Data'!$A$1:$G$69</definedName>
    <definedName name="_xlnm._FilterDatabase" localSheetId="1" hidden="1">'Tariff_2016'!$A$1:$F$12</definedName>
    <definedName name="_xlnm._FilterDatabase" localSheetId="2" hidden="1">'Inconsistencies'!$A$1:$F$20</definedName>
    <definedName name="_xlnm._FilterDatabase" localSheetId="3" hidden="1">'Validation_Update'!$A$1:$D$7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7" customWidth="1" min="4" max="4"/>
    <col width="16" customWidth="1" min="5" max="5"/>
    <col width="48" customWidth="1" min="6" max="6"/>
    <col width="60" customWidth="1" min="7" max="7"/>
  </cols>
  <sheetData>
    <row r="1">
      <c r="A1" s="1" t="inlineStr">
        <is>
          <t>Utility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Year</t>
        </is>
      </c>
      <c r="E1" s="1" t="inlineStr">
        <is>
          <t>Value</t>
        </is>
      </c>
      <c r="F1" s="1" t="inlineStr">
        <is>
          <t>Source</t>
        </is>
      </c>
      <c r="G1" s="1" t="inlineStr">
        <is>
          <t>Note</t>
        </is>
      </c>
    </row>
    <row r="2">
      <c r="A2" s="2" t="inlineStr">
        <is>
          <t>Tagbilaran City Waterworks System</t>
        </is>
      </c>
      <c r="B2" s="2" t="inlineStr">
        <is>
          <t>Service connections – total</t>
        </is>
      </c>
      <c r="C2" s="2" t="inlineStr">
        <is>
          <t>No.</t>
        </is>
      </c>
      <c r="D2" s="2" t="n">
        <v>2020</v>
      </c>
      <c r="E2" s="3" t="n">
        <v>5612</v>
      </c>
      <c r="F2" s="2" t="inlineStr">
        <is>
          <t>05 WSC/BV/collection data – Total accounts as of December (each year)</t>
        </is>
      </c>
      <c r="G2" s="2" t="inlineStr">
        <is>
          <t>2025 = as of December 2025</t>
        </is>
      </c>
    </row>
    <row r="3">
      <c r="A3" s="2" t="inlineStr">
        <is>
          <t>Tagbilaran City Waterworks System</t>
        </is>
      </c>
      <c r="B3" s="2" t="inlineStr">
        <is>
          <t>Service connections – total</t>
        </is>
      </c>
      <c r="C3" s="2" t="inlineStr">
        <is>
          <t>No.</t>
        </is>
      </c>
      <c r="D3" s="2" t="n">
        <v>2021</v>
      </c>
      <c r="E3" s="3" t="n">
        <v>5953</v>
      </c>
      <c r="F3" s="2" t="inlineStr">
        <is>
          <t>05 WSC/BV/collection data – Total accounts as of December (each year)</t>
        </is>
      </c>
      <c r="G3" s="2" t="inlineStr">
        <is>
          <t>2025 = as of December 2025</t>
        </is>
      </c>
    </row>
    <row r="4">
      <c r="A4" s="2" t="inlineStr">
        <is>
          <t>Tagbilaran City Waterworks System</t>
        </is>
      </c>
      <c r="B4" s="2" t="inlineStr">
        <is>
          <t>Service connections – total</t>
        </is>
      </c>
      <c r="C4" s="2" t="inlineStr">
        <is>
          <t>No.</t>
        </is>
      </c>
      <c r="D4" s="2" t="n">
        <v>2022</v>
      </c>
      <c r="E4" s="3" t="n">
        <v>6053</v>
      </c>
      <c r="F4" s="2" t="inlineStr">
        <is>
          <t>05 WSC/BV/collection data – Total accounts as of December (each year)</t>
        </is>
      </c>
      <c r="G4" s="2" t="inlineStr">
        <is>
          <t>2025 = as of December 2025</t>
        </is>
      </c>
    </row>
    <row r="5">
      <c r="A5" s="2" t="inlineStr">
        <is>
          <t>Tagbilaran City Waterworks System</t>
        </is>
      </c>
      <c r="B5" s="2" t="inlineStr">
        <is>
          <t>Service connections – total</t>
        </is>
      </c>
      <c r="C5" s="2" t="inlineStr">
        <is>
          <t>No.</t>
        </is>
      </c>
      <c r="D5" s="2" t="n">
        <v>2023</v>
      </c>
      <c r="E5" s="3" t="n">
        <v>6213</v>
      </c>
      <c r="F5" s="2" t="inlineStr">
        <is>
          <t>05 WSC/BV/collection data – Total accounts as of December (each year)</t>
        </is>
      </c>
      <c r="G5" s="2" t="inlineStr">
        <is>
          <t>2025 = as of December 2025</t>
        </is>
      </c>
    </row>
    <row r="6">
      <c r="A6" s="2" t="inlineStr">
        <is>
          <t>Tagbilaran City Waterworks System</t>
        </is>
      </c>
      <c r="B6" s="2" t="inlineStr">
        <is>
          <t>Service connections – total</t>
        </is>
      </c>
      <c r="C6" s="2" t="inlineStr">
        <is>
          <t>No.</t>
        </is>
      </c>
      <c r="D6" s="2" t="n">
        <v>2024</v>
      </c>
      <c r="E6" s="3" t="n">
        <v>6461</v>
      </c>
      <c r="F6" s="2" t="inlineStr">
        <is>
          <t>05 WSC/BV/collection data – Total accounts as of December (each year)</t>
        </is>
      </c>
      <c r="G6" s="2" t="inlineStr">
        <is>
          <t>2025 = as of December 2025</t>
        </is>
      </c>
    </row>
    <row r="7">
      <c r="A7" s="2" t="inlineStr">
        <is>
          <t>Tagbilaran City Waterworks System</t>
        </is>
      </c>
      <c r="B7" s="2" t="inlineStr">
        <is>
          <t>Service connections – total</t>
        </is>
      </c>
      <c r="C7" s="2" t="inlineStr">
        <is>
          <t>No.</t>
        </is>
      </c>
      <c r="D7" s="2" t="n">
        <v>2025</v>
      </c>
      <c r="E7" s="3" t="n">
        <v>6314</v>
      </c>
      <c r="F7" s="2" t="inlineStr">
        <is>
          <t>05 WSC/BV/collection data – Total accounts as of December (each year)</t>
        </is>
      </c>
      <c r="G7" s="2" t="inlineStr">
        <is>
          <t>2025 = as of December 2025</t>
        </is>
      </c>
    </row>
    <row r="8">
      <c r="A8" s="2" t="inlineStr">
        <is>
          <t>Tagbilaran City Waterworks System</t>
        </is>
      </c>
      <c r="B8" s="2" t="inlineStr">
        <is>
          <t>Service connections – residential</t>
        </is>
      </c>
      <c r="C8" s="2" t="inlineStr">
        <is>
          <t>No.</t>
        </is>
      </c>
      <c r="D8" s="2" t="n">
        <v>2020</v>
      </c>
      <c r="E8" s="3" t="n">
        <v>5545</v>
      </c>
      <c r="F8" s="2" t="inlineStr">
        <is>
          <t>05 WSC/BV/collection data – Total accounts as of December (each year)</t>
        </is>
      </c>
      <c r="G8" s="2" t="inlineStr"/>
    </row>
    <row r="9">
      <c r="A9" s="2" t="inlineStr">
        <is>
          <t>Tagbilaran City Waterworks System</t>
        </is>
      </c>
      <c r="B9" s="2" t="inlineStr">
        <is>
          <t>Service connections – residential</t>
        </is>
      </c>
      <c r="C9" s="2" t="inlineStr">
        <is>
          <t>No.</t>
        </is>
      </c>
      <c r="D9" s="2" t="n">
        <v>2021</v>
      </c>
      <c r="E9" s="3" t="n">
        <v>5886</v>
      </c>
      <c r="F9" s="2" t="inlineStr">
        <is>
          <t>05 WSC/BV/collection data – Total accounts as of December (each year)</t>
        </is>
      </c>
      <c r="G9" s="2" t="inlineStr"/>
    </row>
    <row r="10">
      <c r="A10" s="2" t="inlineStr">
        <is>
          <t>Tagbilaran City Waterworks System</t>
        </is>
      </c>
      <c r="B10" s="2" t="inlineStr">
        <is>
          <t>Service connections – residential</t>
        </is>
      </c>
      <c r="C10" s="2" t="inlineStr">
        <is>
          <t>No.</t>
        </is>
      </c>
      <c r="D10" s="2" t="n">
        <v>2022</v>
      </c>
      <c r="E10" s="3" t="n">
        <v>5986</v>
      </c>
      <c r="F10" s="2" t="inlineStr">
        <is>
          <t>05 WSC/BV/collection data – Total accounts as of December (each year)</t>
        </is>
      </c>
      <c r="G10" s="2" t="inlineStr"/>
    </row>
    <row r="11">
      <c r="A11" s="2" t="inlineStr">
        <is>
          <t>Tagbilaran City Waterworks System</t>
        </is>
      </c>
      <c r="B11" s="2" t="inlineStr">
        <is>
          <t>Service connections – residential</t>
        </is>
      </c>
      <c r="C11" s="2" t="inlineStr">
        <is>
          <t>No.</t>
        </is>
      </c>
      <c r="D11" s="2" t="n">
        <v>2023</v>
      </c>
      <c r="E11" s="3" t="n">
        <v>6136</v>
      </c>
      <c r="F11" s="2" t="inlineStr">
        <is>
          <t>05 WSC/BV/collection data – Total accounts as of December (each year)</t>
        </is>
      </c>
      <c r="G11" s="2" t="inlineStr"/>
    </row>
    <row r="12">
      <c r="A12" s="2" t="inlineStr">
        <is>
          <t>Tagbilaran City Waterworks System</t>
        </is>
      </c>
      <c r="B12" s="2" t="inlineStr">
        <is>
          <t>Service connections – residential</t>
        </is>
      </c>
      <c r="C12" s="2" t="inlineStr">
        <is>
          <t>No.</t>
        </is>
      </c>
      <c r="D12" s="2" t="n">
        <v>2024</v>
      </c>
      <c r="E12" s="3" t="n">
        <v>6393</v>
      </c>
      <c r="F12" s="2" t="inlineStr">
        <is>
          <t>05 WSC/BV/collection data – Total accounts as of December (each year)</t>
        </is>
      </c>
      <c r="G12" s="2" t="inlineStr"/>
    </row>
    <row r="13">
      <c r="A13" s="2" t="inlineStr">
        <is>
          <t>Tagbilaran City Waterworks System</t>
        </is>
      </c>
      <c r="B13" s="2" t="inlineStr">
        <is>
          <t>Service connections – residential</t>
        </is>
      </c>
      <c r="C13" s="2" t="inlineStr">
        <is>
          <t>No.</t>
        </is>
      </c>
      <c r="D13" s="2" t="n">
        <v>2025</v>
      </c>
      <c r="E13" s="3" t="n">
        <v>6254</v>
      </c>
      <c r="F13" s="2" t="inlineStr">
        <is>
          <t>05 WSC/BV/collection data – Total accounts as of December (each year)</t>
        </is>
      </c>
      <c r="G13" s="2" t="inlineStr"/>
    </row>
    <row r="14">
      <c r="A14" s="2" t="inlineStr">
        <is>
          <t>Tagbilaran City Waterworks System</t>
        </is>
      </c>
      <c r="B14" s="2" t="inlineStr">
        <is>
          <t>Service connections – commercial</t>
        </is>
      </c>
      <c r="C14" s="2" t="inlineStr">
        <is>
          <t>No.</t>
        </is>
      </c>
      <c r="D14" s="2" t="n">
        <v>2020</v>
      </c>
      <c r="E14" s="3" t="n">
        <v>34</v>
      </c>
      <c r="F14" s="2" t="inlineStr">
        <is>
          <t>05 WSC/BV/collection data – Total accounts as of December (each year)</t>
        </is>
      </c>
      <c r="G14" s="2" t="inlineStr"/>
    </row>
    <row r="15">
      <c r="A15" s="2" t="inlineStr">
        <is>
          <t>Tagbilaran City Waterworks System</t>
        </is>
      </c>
      <c r="B15" s="2" t="inlineStr">
        <is>
          <t>Service connections – commercial</t>
        </is>
      </c>
      <c r="C15" s="2" t="inlineStr">
        <is>
          <t>No.</t>
        </is>
      </c>
      <c r="D15" s="2" t="n">
        <v>2021</v>
      </c>
      <c r="E15" s="3" t="n">
        <v>34</v>
      </c>
      <c r="F15" s="2" t="inlineStr">
        <is>
          <t>05 WSC/BV/collection data – Total accounts as of December (each year)</t>
        </is>
      </c>
      <c r="G15" s="2" t="inlineStr"/>
    </row>
    <row r="16">
      <c r="A16" s="2" t="inlineStr">
        <is>
          <t>Tagbilaran City Waterworks System</t>
        </is>
      </c>
      <c r="B16" s="2" t="inlineStr">
        <is>
          <t>Service connections – commercial</t>
        </is>
      </c>
      <c r="C16" s="2" t="inlineStr">
        <is>
          <t>No.</t>
        </is>
      </c>
      <c r="D16" s="2" t="n">
        <v>2022</v>
      </c>
      <c r="E16" s="3" t="n">
        <v>34</v>
      </c>
      <c r="F16" s="2" t="inlineStr">
        <is>
          <t>05 WSC/BV/collection data – Total accounts as of December (each year)</t>
        </is>
      </c>
      <c r="G16" s="2" t="inlineStr"/>
    </row>
    <row r="17">
      <c r="A17" s="2" t="inlineStr">
        <is>
          <t>Tagbilaran City Waterworks System</t>
        </is>
      </c>
      <c r="B17" s="2" t="inlineStr">
        <is>
          <t>Service connections – commercial</t>
        </is>
      </c>
      <c r="C17" s="2" t="inlineStr">
        <is>
          <t>No.</t>
        </is>
      </c>
      <c r="D17" s="2" t="n">
        <v>2023</v>
      </c>
      <c r="E17" s="3" t="n">
        <v>34</v>
      </c>
      <c r="F17" s="2" t="inlineStr">
        <is>
          <t>05 WSC/BV/collection data – Total accounts as of December (each year)</t>
        </is>
      </c>
      <c r="G17" s="2" t="inlineStr"/>
    </row>
    <row r="18">
      <c r="A18" s="2" t="inlineStr">
        <is>
          <t>Tagbilaran City Waterworks System</t>
        </is>
      </c>
      <c r="B18" s="2" t="inlineStr">
        <is>
          <t>Service connections – commercial</t>
        </is>
      </c>
      <c r="C18" s="2" t="inlineStr">
        <is>
          <t>No.</t>
        </is>
      </c>
      <c r="D18" s="2" t="n">
        <v>2024</v>
      </c>
      <c r="E18" s="3" t="n">
        <v>35</v>
      </c>
      <c r="F18" s="2" t="inlineStr">
        <is>
          <t>05 WSC/BV/collection data – Total accounts as of December (each year)</t>
        </is>
      </c>
      <c r="G18" s="2" t="inlineStr"/>
    </row>
    <row r="19">
      <c r="A19" s="2" t="inlineStr">
        <is>
          <t>Tagbilaran City Waterworks System</t>
        </is>
      </c>
      <c r="B19" s="2" t="inlineStr">
        <is>
          <t>Service connections – commercial</t>
        </is>
      </c>
      <c r="C19" s="2" t="inlineStr">
        <is>
          <t>No.</t>
        </is>
      </c>
      <c r="D19" s="2" t="n">
        <v>2025</v>
      </c>
      <c r="E19" s="3" t="n">
        <v>31</v>
      </c>
      <c r="F19" s="2" t="inlineStr">
        <is>
          <t>05 WSC/BV/collection data – Total accounts as of December (each year)</t>
        </is>
      </c>
      <c r="G19" s="2" t="inlineStr"/>
    </row>
    <row r="20">
      <c r="A20" s="2" t="inlineStr">
        <is>
          <t>Tagbilaran City Waterworks System</t>
        </is>
      </c>
      <c r="B20" s="2" t="inlineStr">
        <is>
          <t>Service connections – institutional</t>
        </is>
      </c>
      <c r="C20" s="2" t="inlineStr">
        <is>
          <t>No.</t>
        </is>
      </c>
      <c r="D20" s="2" t="n">
        <v>2020</v>
      </c>
      <c r="E20" s="3" t="n">
        <v>33</v>
      </c>
      <c r="F20" s="2" t="inlineStr">
        <is>
          <t>05 WSC/BV/collection data – Total accounts as of December (each year)</t>
        </is>
      </c>
      <c r="G20" s="2" t="inlineStr">
        <is>
          <t>Questionnaire shows 27 for 2025 YTD</t>
        </is>
      </c>
    </row>
    <row r="21">
      <c r="A21" s="2" t="inlineStr">
        <is>
          <t>Tagbilaran City Waterworks System</t>
        </is>
      </c>
      <c r="B21" s="2" t="inlineStr">
        <is>
          <t>Service connections – institutional</t>
        </is>
      </c>
      <c r="C21" s="2" t="inlineStr">
        <is>
          <t>No.</t>
        </is>
      </c>
      <c r="D21" s="2" t="n">
        <v>2021</v>
      </c>
      <c r="E21" s="3" t="n">
        <v>33</v>
      </c>
      <c r="F21" s="2" t="inlineStr">
        <is>
          <t>05 WSC/BV/collection data – Total accounts as of December (each year)</t>
        </is>
      </c>
      <c r="G21" s="2" t="inlineStr">
        <is>
          <t>Questionnaire shows 27 for 2025 YTD</t>
        </is>
      </c>
    </row>
    <row r="22">
      <c r="A22" s="2" t="inlineStr">
        <is>
          <t>Tagbilaran City Waterworks System</t>
        </is>
      </c>
      <c r="B22" s="2" t="inlineStr">
        <is>
          <t>Service connections – institutional</t>
        </is>
      </c>
      <c r="C22" s="2" t="inlineStr">
        <is>
          <t>No.</t>
        </is>
      </c>
      <c r="D22" s="2" t="n">
        <v>2022</v>
      </c>
      <c r="E22" s="3" t="n">
        <v>33</v>
      </c>
      <c r="F22" s="2" t="inlineStr">
        <is>
          <t>05 WSC/BV/collection data – Total accounts as of December (each year)</t>
        </is>
      </c>
      <c r="G22" s="2" t="inlineStr">
        <is>
          <t>Questionnaire shows 27 for 2025 YTD</t>
        </is>
      </c>
    </row>
    <row r="23">
      <c r="A23" s="2" t="inlineStr">
        <is>
          <t>Tagbilaran City Waterworks System</t>
        </is>
      </c>
      <c r="B23" s="2" t="inlineStr">
        <is>
          <t>Service connections – institutional</t>
        </is>
      </c>
      <c r="C23" s="2" t="inlineStr">
        <is>
          <t>No.</t>
        </is>
      </c>
      <c r="D23" s="2" t="n">
        <v>2023</v>
      </c>
      <c r="E23" s="3" t="n">
        <v>33</v>
      </c>
      <c r="F23" s="2" t="inlineStr">
        <is>
          <t>05 WSC/BV/collection data – Total accounts as of December (each year)</t>
        </is>
      </c>
      <c r="G23" s="2" t="inlineStr">
        <is>
          <t>Questionnaire shows 27 for 2025 YTD</t>
        </is>
      </c>
    </row>
    <row r="24">
      <c r="A24" s="2" t="inlineStr">
        <is>
          <t>Tagbilaran City Waterworks System</t>
        </is>
      </c>
      <c r="B24" s="2" t="inlineStr">
        <is>
          <t>Service connections – institutional</t>
        </is>
      </c>
      <c r="C24" s="2" t="inlineStr">
        <is>
          <t>No.</t>
        </is>
      </c>
      <c r="D24" s="2" t="n">
        <v>2024</v>
      </c>
      <c r="E24" s="3" t="n">
        <v>33</v>
      </c>
      <c r="F24" s="2" t="inlineStr">
        <is>
          <t>05 WSC/BV/collection data – Total accounts as of December (each year)</t>
        </is>
      </c>
      <c r="G24" s="2" t="inlineStr">
        <is>
          <t>Questionnaire shows 27 for 2025 YTD</t>
        </is>
      </c>
    </row>
    <row r="25">
      <c r="A25" s="2" t="inlineStr">
        <is>
          <t>Tagbilaran City Waterworks System</t>
        </is>
      </c>
      <c r="B25" s="2" t="inlineStr">
        <is>
          <t>Service connections – institutional</t>
        </is>
      </c>
      <c r="C25" s="2" t="inlineStr">
        <is>
          <t>No.</t>
        </is>
      </c>
      <c r="D25" s="2" t="n">
        <v>2025</v>
      </c>
      <c r="E25" s="3" t="n">
        <v>29</v>
      </c>
      <c r="F25" s="2" t="inlineStr">
        <is>
          <t>05 WSC/BV/collection data – Total accounts as of December (each year)</t>
        </is>
      </c>
      <c r="G25" s="2" t="inlineStr">
        <is>
          <t>Questionnaire shows 27 for 2025 YTD</t>
        </is>
      </c>
    </row>
    <row r="26">
      <c r="A26" s="2" t="inlineStr">
        <is>
          <t>Tagbilaran City Waterworks System</t>
        </is>
      </c>
      <c r="B26" s="2" t="inlineStr">
        <is>
          <t>Billed volume</t>
        </is>
      </c>
      <c r="C26" s="2" t="inlineStr">
        <is>
          <t>m3/year</t>
        </is>
      </c>
      <c r="D26" s="2" t="n">
        <v>2020</v>
      </c>
      <c r="E26" s="3" t="n">
        <v>1753537</v>
      </c>
      <c r="F26" s="2" t="inlineStr">
        <is>
          <t>05 WSC/BV/collection data – Consumption summary (Jan–Dec)</t>
        </is>
      </c>
      <c r="G26" s="2" t="inlineStr"/>
    </row>
    <row r="27">
      <c r="A27" s="2" t="inlineStr">
        <is>
          <t>Tagbilaran City Waterworks System</t>
        </is>
      </c>
      <c r="B27" s="2" t="inlineStr">
        <is>
          <t>Billed volume</t>
        </is>
      </c>
      <c r="C27" s="2" t="inlineStr">
        <is>
          <t>m3/year</t>
        </is>
      </c>
      <c r="D27" s="2" t="n">
        <v>2021</v>
      </c>
      <c r="E27" s="3" t="n">
        <v>1807220</v>
      </c>
      <c r="F27" s="2" t="inlineStr">
        <is>
          <t>05 WSC/BV/collection data – Consumption summary (Jan–Dec)</t>
        </is>
      </c>
      <c r="G27" s="2" t="inlineStr"/>
    </row>
    <row r="28">
      <c r="A28" s="2" t="inlineStr">
        <is>
          <t>Tagbilaran City Waterworks System</t>
        </is>
      </c>
      <c r="B28" s="2" t="inlineStr">
        <is>
          <t>Billed volume</t>
        </is>
      </c>
      <c r="C28" s="2" t="inlineStr">
        <is>
          <t>m3/year</t>
        </is>
      </c>
      <c r="D28" s="2" t="n">
        <v>2022</v>
      </c>
      <c r="E28" s="3" t="n">
        <v>1704980</v>
      </c>
      <c r="F28" s="2" t="inlineStr">
        <is>
          <t>05 WSC/BV/collection data – Consumption summary (Jan–Dec)</t>
        </is>
      </c>
      <c r="G28" s="2" t="inlineStr"/>
    </row>
    <row r="29">
      <c r="A29" s="2" t="inlineStr">
        <is>
          <t>Tagbilaran City Waterworks System</t>
        </is>
      </c>
      <c r="B29" s="2" t="inlineStr">
        <is>
          <t>Billed volume</t>
        </is>
      </c>
      <c r="C29" s="2" t="inlineStr">
        <is>
          <t>m3/year</t>
        </is>
      </c>
      <c r="D29" s="2" t="n">
        <v>2023</v>
      </c>
      <c r="E29" s="3" t="n">
        <v>1897357</v>
      </c>
      <c r="F29" s="2" t="inlineStr">
        <is>
          <t>05 WSC/BV/collection data – Consumption summary (Jan–Dec)</t>
        </is>
      </c>
      <c r="G29" s="2" t="inlineStr"/>
    </row>
    <row r="30">
      <c r="A30" s="2" t="inlineStr">
        <is>
          <t>Tagbilaran City Waterworks System</t>
        </is>
      </c>
      <c r="B30" s="2" t="inlineStr">
        <is>
          <t>Billed volume</t>
        </is>
      </c>
      <c r="C30" s="2" t="inlineStr">
        <is>
          <t>m3/year</t>
        </is>
      </c>
      <c r="D30" s="2" t="n">
        <v>2024</v>
      </c>
      <c r="E30" s="3" t="n">
        <v>1833134</v>
      </c>
      <c r="F30" s="2" t="inlineStr">
        <is>
          <t>05 WSC/BV/collection data – Consumption summary (Jan–Dec)</t>
        </is>
      </c>
      <c r="G30" s="2" t="inlineStr"/>
    </row>
    <row r="31">
      <c r="A31" s="2" t="inlineStr">
        <is>
          <t>Tagbilaran City Waterworks System</t>
        </is>
      </c>
      <c r="B31" s="2" t="inlineStr">
        <is>
          <t>Billed volume – Jan to Jun 2025</t>
        </is>
      </c>
      <c r="C31" s="2" t="inlineStr">
        <is>
          <t>m3</t>
        </is>
      </c>
      <c r="D31" s="2" t="n">
        <v>2025</v>
      </c>
      <c r="E31" s="3" t="n">
        <v>952194</v>
      </c>
      <c r="F31" s="2" t="inlineStr">
        <is>
          <t>05 WSC/BV/collection data – Consumption summary (Jan–Dec)</t>
        </is>
      </c>
      <c r="G31" s="2">
        <f> 5.26 MLD; Jan–Aug 2025 = 1,228,062 m3 (August incomplete)</f>
        <v/>
      </c>
    </row>
    <row r="32">
      <c r="A32" s="2" t="inlineStr">
        <is>
          <t>Tagbilaran City Waterworks System</t>
        </is>
      </c>
      <c r="B32" s="2" t="inlineStr">
        <is>
          <t>Billed volume – City Gov't / DepEd accounts</t>
        </is>
      </c>
      <c r="C32" s="2" t="inlineStr">
        <is>
          <t>m3/year</t>
        </is>
      </c>
      <c r="D32" s="2" t="n">
        <v>2022</v>
      </c>
      <c r="E32" s="3" t="n">
        <v>3704</v>
      </c>
      <c r="F32" s="2" t="inlineStr">
        <is>
          <t>05 WSC/BV/collection data – Consumption summary (Jan–Dec)</t>
        </is>
      </c>
      <c r="G32" s="2" t="inlineStr"/>
    </row>
    <row r="33">
      <c r="A33" s="2" t="inlineStr">
        <is>
          <t>Tagbilaran City Waterworks System</t>
        </is>
      </c>
      <c r="B33" s="2" t="inlineStr">
        <is>
          <t>Billed volume – City Gov't / DepEd accounts</t>
        </is>
      </c>
      <c r="C33" s="2" t="inlineStr">
        <is>
          <t>m3/year</t>
        </is>
      </c>
      <c r="D33" s="2" t="n">
        <v>2023</v>
      </c>
      <c r="E33" s="3" t="n">
        <v>43558</v>
      </c>
      <c r="F33" s="2" t="inlineStr">
        <is>
          <t>05 WSC/BV/collection data – Consumption summary (Jan–Dec)</t>
        </is>
      </c>
      <c r="G33" s="2" t="inlineStr"/>
    </row>
    <row r="34">
      <c r="A34" s="2" t="inlineStr">
        <is>
          <t>Tagbilaran City Waterworks System</t>
        </is>
      </c>
      <c r="B34" s="2" t="inlineStr">
        <is>
          <t>Billed volume – City Gov't / DepEd accounts</t>
        </is>
      </c>
      <c r="C34" s="2" t="inlineStr">
        <is>
          <t>m3/year</t>
        </is>
      </c>
      <c r="D34" s="2" t="n">
        <v>2024</v>
      </c>
      <c r="E34" s="3" t="n">
        <v>74298</v>
      </c>
      <c r="F34" s="2" t="inlineStr">
        <is>
          <t>05 WSC/BV/collection data – Consumption summary (Jan–Dec)</t>
        </is>
      </c>
      <c r="G34" s="2" t="inlineStr"/>
    </row>
    <row r="35">
      <c r="A35" s="2" t="inlineStr">
        <is>
          <t>Tagbilaran City Waterworks System</t>
        </is>
      </c>
      <c r="B35" s="2" t="inlineStr">
        <is>
          <t>Production volume</t>
        </is>
      </c>
      <c r="C35" s="2" t="inlineStr">
        <is>
          <t>m3/year</t>
        </is>
      </c>
      <c r="D35" s="2" t="n">
        <v>2023</v>
      </c>
      <c r="E35" s="3" t="n">
        <v>3535036</v>
      </c>
      <c r="F35" s="2" t="inlineStr">
        <is>
          <t>07 Production data – Pumping stations production</t>
        </is>
      </c>
      <c r="G35" s="2" t="inlineStr">
        <is>
          <t>2024 Sep–Dec: several pumping units report zero; production may be under-recorded</t>
        </is>
      </c>
    </row>
    <row r="36">
      <c r="A36" s="2" t="inlineStr">
        <is>
          <t>Tagbilaran City Waterworks System</t>
        </is>
      </c>
      <c r="B36" s="2" t="inlineStr">
        <is>
          <t>Production volume</t>
        </is>
      </c>
      <c r="C36" s="2" t="inlineStr">
        <is>
          <t>m3/year</t>
        </is>
      </c>
      <c r="D36" s="2" t="n">
        <v>2024</v>
      </c>
      <c r="E36" s="3" t="n">
        <v>3049028</v>
      </c>
      <c r="F36" s="2" t="inlineStr">
        <is>
          <t>07 Production data – Pumping stations production</t>
        </is>
      </c>
      <c r="G36" s="2" t="inlineStr">
        <is>
          <t>2024 Sep–Dec: several pumping units report zero; production may be under-recorded</t>
        </is>
      </c>
    </row>
    <row r="37">
      <c r="A37" s="2" t="inlineStr">
        <is>
          <t>Tagbilaran City Waterworks System</t>
        </is>
      </c>
      <c r="B37" s="2" t="inlineStr">
        <is>
          <t>Production volume – Jan to Jun 2025</t>
        </is>
      </c>
      <c r="C37" s="2" t="inlineStr">
        <is>
          <t>m3</t>
        </is>
      </c>
      <c r="D37" s="2" t="n">
        <v>2025</v>
      </c>
      <c r="E37" s="3" t="n">
        <v>1385950</v>
      </c>
      <c r="F37" s="2" t="inlineStr">
        <is>
          <t>07 Production data – Pumping stations production</t>
        </is>
      </c>
      <c r="G37" s="2">
        <f> 7.66 MLD; April repeats March and June repeats May for most units (likely estimated readings)</f>
        <v/>
      </c>
    </row>
    <row r="38">
      <c r="A38" s="2" t="inlineStr">
        <is>
          <t>Tagbilaran City Waterworks System</t>
        </is>
      </c>
      <c r="B38" s="2" t="inlineStr">
        <is>
          <t>Production – average daily</t>
        </is>
      </c>
      <c r="C38" s="2" t="inlineStr">
        <is>
          <t>MLD</t>
        </is>
      </c>
      <c r="D38" s="2" t="n">
        <v>2023</v>
      </c>
      <c r="E38" s="3" t="n">
        <v>9.69</v>
      </c>
      <c r="F38" s="2" t="inlineStr">
        <is>
          <t>07 Production data – Pumping stations production</t>
        </is>
      </c>
      <c r="G38" s="2" t="inlineStr">
        <is>
          <t>Calculated; 2025 = Jan–Jun</t>
        </is>
      </c>
    </row>
    <row r="39">
      <c r="A39" s="2" t="inlineStr">
        <is>
          <t>Tagbilaran City Waterworks System</t>
        </is>
      </c>
      <c r="B39" s="2" t="inlineStr">
        <is>
          <t>Production – average daily</t>
        </is>
      </c>
      <c r="C39" s="2" t="inlineStr">
        <is>
          <t>MLD</t>
        </is>
      </c>
      <c r="D39" s="2" t="n">
        <v>2024</v>
      </c>
      <c r="E39" s="3" t="n">
        <v>8.35</v>
      </c>
      <c r="F39" s="2" t="inlineStr">
        <is>
          <t>07 Production data – Pumping stations production</t>
        </is>
      </c>
      <c r="G39" s="2" t="inlineStr">
        <is>
          <t>Calculated; 2025 = Jan–Jun</t>
        </is>
      </c>
    </row>
    <row r="40">
      <c r="A40" s="2" t="inlineStr">
        <is>
          <t>Tagbilaran City Waterworks System</t>
        </is>
      </c>
      <c r="B40" s="2" t="inlineStr">
        <is>
          <t>Production – average daily</t>
        </is>
      </c>
      <c r="C40" s="2" t="inlineStr">
        <is>
          <t>MLD</t>
        </is>
      </c>
      <c r="D40" s="2" t="n">
        <v>2025</v>
      </c>
      <c r="E40" s="3" t="n">
        <v>7.66</v>
      </c>
      <c r="F40" s="2" t="inlineStr">
        <is>
          <t>07 Production data – Pumping stations production</t>
        </is>
      </c>
      <c r="G40" s="2" t="inlineStr">
        <is>
          <t>Calculated; 2025 = Jan–Jun</t>
        </is>
      </c>
    </row>
    <row r="41">
      <c r="A41" s="2" t="inlineStr">
        <is>
          <t>Tagbilaran City Waterworks System</t>
        </is>
      </c>
      <c r="B41" s="2" t="inlineStr">
        <is>
          <t>Non-revenue water (NRW)</t>
        </is>
      </c>
      <c r="C41" s="2" t="inlineStr">
        <is>
          <t>%</t>
        </is>
      </c>
      <c r="D41" s="2" t="n">
        <v>2023</v>
      </c>
      <c r="E41" s="4" t="n">
        <v>0.463</v>
      </c>
      <c r="F41" s="2" t="inlineStr">
        <is>
          <t>Calculated from 05 and 07</t>
        </is>
      </c>
      <c r="G41" s="2" t="inlineStr">
        <is>
          <t>(Production − Billed) / Production; 2025 = Jan–Jun</t>
        </is>
      </c>
    </row>
    <row r="42">
      <c r="A42" s="2" t="inlineStr">
        <is>
          <t>Tagbilaran City Waterworks System</t>
        </is>
      </c>
      <c r="B42" s="2" t="inlineStr">
        <is>
          <t>Non-revenue water (NRW)</t>
        </is>
      </c>
      <c r="C42" s="2" t="inlineStr">
        <is>
          <t>%</t>
        </is>
      </c>
      <c r="D42" s="2" t="n">
        <v>2024</v>
      </c>
      <c r="E42" s="4" t="n">
        <v>0.399</v>
      </c>
      <c r="F42" s="2" t="inlineStr">
        <is>
          <t>Calculated from 05 and 07</t>
        </is>
      </c>
      <c r="G42" s="2" t="inlineStr">
        <is>
          <t>(Production − Billed) / Production; 2025 = Jan–Jun</t>
        </is>
      </c>
    </row>
    <row r="43">
      <c r="A43" s="2" t="inlineStr">
        <is>
          <t>Tagbilaran City Waterworks System</t>
        </is>
      </c>
      <c r="B43" s="2" t="inlineStr">
        <is>
          <t>Non-revenue water (NRW)</t>
        </is>
      </c>
      <c r="C43" s="2" t="inlineStr">
        <is>
          <t>%</t>
        </is>
      </c>
      <c r="D43" s="2" t="n">
        <v>2025</v>
      </c>
      <c r="E43" s="4" t="n">
        <v>0.313</v>
      </c>
      <c r="F43" s="2" t="inlineStr">
        <is>
          <t>Calculated from 05 and 07</t>
        </is>
      </c>
      <c r="G43" s="2" t="inlineStr">
        <is>
          <t>(Production − Billed) / Production; 2025 = Jan–Jun</t>
        </is>
      </c>
    </row>
    <row r="44">
      <c r="A44" s="2" t="inlineStr">
        <is>
          <t>Tagbilaran City Waterworks System</t>
        </is>
      </c>
      <c r="B44" s="2" t="inlineStr">
        <is>
          <t>NRW – monthly spot check (Dec 2021)</t>
        </is>
      </c>
      <c r="C44" s="2" t="inlineStr">
        <is>
          <t>%</t>
        </is>
      </c>
      <c r="D44" s="2" t="n">
        <v>2021</v>
      </c>
      <c r="E44" s="4" t="n">
        <v>0.4833</v>
      </c>
      <c r="F44" s="2" t="inlineStr">
        <is>
          <t>07 Production data – Water production Dec 2021–Jan 2022</t>
        </is>
      </c>
      <c r="G44" s="2" t="inlineStr">
        <is>
          <t>Billed 160,955 m3 vs produced 311,503 m3 (27 days)</t>
        </is>
      </c>
    </row>
    <row r="45">
      <c r="A45" s="2" t="inlineStr">
        <is>
          <t>Tagbilaran City Waterworks System</t>
        </is>
      </c>
      <c r="B45" s="2" t="inlineStr">
        <is>
          <t>NRW – monthly spot check (Dec 2022)</t>
        </is>
      </c>
      <c r="C45" s="2" t="inlineStr">
        <is>
          <t>%</t>
        </is>
      </c>
      <c r="D45" s="2" t="n">
        <v>2022</v>
      </c>
      <c r="E45" s="4" t="n">
        <v>0.5389</v>
      </c>
      <c r="F45" s="2" t="inlineStr">
        <is>
          <t>07 Production data – Water production Dec 2022–Jan 2023</t>
        </is>
      </c>
      <c r="G45" s="2" t="inlineStr">
        <is>
          <t>Billed 157,073 m3 vs produced 340,674 m3 (33 days)</t>
        </is>
      </c>
    </row>
    <row r="46">
      <c r="A46" s="2" t="inlineStr">
        <is>
          <t>Tagbilaran City Waterworks System</t>
        </is>
      </c>
      <c r="B46" s="2" t="inlineStr">
        <is>
          <t>Water collections</t>
        </is>
      </c>
      <c r="C46" s="2" t="inlineStr">
        <is>
          <t>PhP/year</t>
        </is>
      </c>
      <c r="D46" s="2" t="n">
        <v>2014</v>
      </c>
      <c r="E46" s="3" t="n">
        <v>8774969.359999999</v>
      </c>
      <c r="F46" s="2" t="inlineStr">
        <is>
          <t>05 WSC/BV/collection data – Summary of water collections 2014–2025</t>
        </is>
      </c>
      <c r="G46" s="2" t="inlineStr">
        <is>
          <t>2014 = Feb–Dec; 2015 not reported. The Business Plan reports these figures as "Annual water sales"</t>
        </is>
      </c>
    </row>
    <row r="47">
      <c r="A47" s="2" t="inlineStr">
        <is>
          <t>Tagbilaran City Waterworks System</t>
        </is>
      </c>
      <c r="B47" s="2" t="inlineStr">
        <is>
          <t>Water collections</t>
        </is>
      </c>
      <c r="C47" s="2" t="inlineStr">
        <is>
          <t>PhP/year</t>
        </is>
      </c>
      <c r="D47" s="2" t="n">
        <v>2016</v>
      </c>
      <c r="E47" s="3" t="n">
        <v>12082595.21</v>
      </c>
      <c r="F47" s="2" t="inlineStr">
        <is>
          <t>05 WSC/BV/collection data – Summary of water collections 2014–2025</t>
        </is>
      </c>
      <c r="G47" s="2" t="inlineStr">
        <is>
          <t>2014 = Feb–Dec; 2015 not reported. The Business Plan reports these figures as "Annual water sales"</t>
        </is>
      </c>
    </row>
    <row r="48">
      <c r="A48" s="2" t="inlineStr">
        <is>
          <t>Tagbilaran City Waterworks System</t>
        </is>
      </c>
      <c r="B48" s="2" t="inlineStr">
        <is>
          <t>Water collections</t>
        </is>
      </c>
      <c r="C48" s="2" t="inlineStr">
        <is>
          <t>PhP/year</t>
        </is>
      </c>
      <c r="D48" s="2" t="n">
        <v>2017</v>
      </c>
      <c r="E48" s="3" t="n">
        <v>16215184.27</v>
      </c>
      <c r="F48" s="2" t="inlineStr">
        <is>
          <t>05 WSC/BV/collection data – Summary of water collections 2014–2025</t>
        </is>
      </c>
      <c r="G48" s="2" t="inlineStr">
        <is>
          <t>2014 = Feb–Dec; 2015 not reported. The Business Plan reports these figures as "Annual water sales"</t>
        </is>
      </c>
    </row>
    <row r="49">
      <c r="A49" s="2" t="inlineStr">
        <is>
          <t>Tagbilaran City Waterworks System</t>
        </is>
      </c>
      <c r="B49" s="2" t="inlineStr">
        <is>
          <t>Water collections</t>
        </is>
      </c>
      <c r="C49" s="2" t="inlineStr">
        <is>
          <t>PhP/year</t>
        </is>
      </c>
      <c r="D49" s="2" t="n">
        <v>2018</v>
      </c>
      <c r="E49" s="3" t="n">
        <v>15697913.55</v>
      </c>
      <c r="F49" s="2" t="inlineStr">
        <is>
          <t>05 WSC/BV/collection data – Summary of water collections 2014–2025</t>
        </is>
      </c>
      <c r="G49" s="2" t="inlineStr">
        <is>
          <t>2014 = Feb–Dec; 2015 not reported. The Business Plan reports these figures as "Annual water sales"</t>
        </is>
      </c>
    </row>
    <row r="50">
      <c r="A50" s="2" t="inlineStr">
        <is>
          <t>Tagbilaran City Waterworks System</t>
        </is>
      </c>
      <c r="B50" s="2" t="inlineStr">
        <is>
          <t>Water collections</t>
        </is>
      </c>
      <c r="C50" s="2" t="inlineStr">
        <is>
          <t>PhP/year</t>
        </is>
      </c>
      <c r="D50" s="2" t="n">
        <v>2019</v>
      </c>
      <c r="E50" s="3" t="n">
        <v>17014073.26</v>
      </c>
      <c r="F50" s="2" t="inlineStr">
        <is>
          <t>05 WSC/BV/collection data – Summary of water collections 2014–2025</t>
        </is>
      </c>
      <c r="G50" s="2" t="inlineStr">
        <is>
          <t>2014 = Feb–Dec; 2015 not reported. The Business Plan reports these figures as "Annual water sales"</t>
        </is>
      </c>
    </row>
    <row r="51">
      <c r="A51" s="2" t="inlineStr">
        <is>
          <t>Tagbilaran City Waterworks System</t>
        </is>
      </c>
      <c r="B51" s="2" t="inlineStr">
        <is>
          <t>Water collections</t>
        </is>
      </c>
      <c r="C51" s="2" t="inlineStr">
        <is>
          <t>PhP/year</t>
        </is>
      </c>
      <c r="D51" s="2" t="n">
        <v>2020</v>
      </c>
      <c r="E51" s="3" t="n">
        <v>18741029.89</v>
      </c>
      <c r="F51" s="2" t="inlineStr">
        <is>
          <t>05 WSC/BV/collection data – Summary of water collections 2014–2025</t>
        </is>
      </c>
      <c r="G51" s="2" t="inlineStr">
        <is>
          <t>2014 = Feb–Dec; 2015 not reported. The Business Plan reports these figures as "Annual water sales"</t>
        </is>
      </c>
    </row>
    <row r="52">
      <c r="A52" s="2" t="inlineStr">
        <is>
          <t>Tagbilaran City Waterworks System</t>
        </is>
      </c>
      <c r="B52" s="2" t="inlineStr">
        <is>
          <t>Water collections</t>
        </is>
      </c>
      <c r="C52" s="2" t="inlineStr">
        <is>
          <t>PhP/year</t>
        </is>
      </c>
      <c r="D52" s="2" t="n">
        <v>2021</v>
      </c>
      <c r="E52" s="3" t="n">
        <v>19858823.78</v>
      </c>
      <c r="F52" s="2" t="inlineStr">
        <is>
          <t>05 WSC/BV/collection data – Summary of water collections 2014–2025</t>
        </is>
      </c>
      <c r="G52" s="2" t="inlineStr">
        <is>
          <t>2014 = Feb–Dec; 2015 not reported. The Business Plan reports these figures as "Annual water sales"</t>
        </is>
      </c>
    </row>
    <row r="53">
      <c r="A53" s="2" t="inlineStr">
        <is>
          <t>Tagbilaran City Waterworks System</t>
        </is>
      </c>
      <c r="B53" s="2" t="inlineStr">
        <is>
          <t>Water collections</t>
        </is>
      </c>
      <c r="C53" s="2" t="inlineStr">
        <is>
          <t>PhP/year</t>
        </is>
      </c>
      <c r="D53" s="2" t="n">
        <v>2022</v>
      </c>
      <c r="E53" s="3" t="n">
        <v>21121407.28</v>
      </c>
      <c r="F53" s="2" t="inlineStr">
        <is>
          <t>05 WSC/BV/collection data – Summary of water collections 2014–2025</t>
        </is>
      </c>
      <c r="G53" s="2" t="inlineStr">
        <is>
          <t>2014 = Feb–Dec; 2015 not reported. The Business Plan reports these figures as "Annual water sales"</t>
        </is>
      </c>
    </row>
    <row r="54">
      <c r="A54" s="2" t="inlineStr">
        <is>
          <t>Tagbilaran City Waterworks System</t>
        </is>
      </c>
      <c r="B54" s="2" t="inlineStr">
        <is>
          <t>Water collections</t>
        </is>
      </c>
      <c r="C54" s="2" t="inlineStr">
        <is>
          <t>PhP/year</t>
        </is>
      </c>
      <c r="D54" s="2" t="n">
        <v>2023</v>
      </c>
      <c r="E54" s="3" t="n">
        <v>23144634.58</v>
      </c>
      <c r="F54" s="2" t="inlineStr">
        <is>
          <t>05 WSC/BV/collection data – Summary of water collections 2014–2025</t>
        </is>
      </c>
      <c r="G54" s="2" t="inlineStr">
        <is>
          <t>2014 = Feb–Dec; 2015 not reported. The Business Plan reports these figures as "Annual water sales"</t>
        </is>
      </c>
    </row>
    <row r="55">
      <c r="A55" s="2" t="inlineStr">
        <is>
          <t>Tagbilaran City Waterworks System</t>
        </is>
      </c>
      <c r="B55" s="2" t="inlineStr">
        <is>
          <t>Water collections</t>
        </is>
      </c>
      <c r="C55" s="2" t="inlineStr">
        <is>
          <t>PhP/year</t>
        </is>
      </c>
      <c r="D55" s="2" t="n">
        <v>2024</v>
      </c>
      <c r="E55" s="3" t="n">
        <v>22887685.65</v>
      </c>
      <c r="F55" s="2" t="inlineStr">
        <is>
          <t>05 WSC/BV/collection data – Summary of water collections 2014–2025</t>
        </is>
      </c>
      <c r="G55" s="2" t="inlineStr">
        <is>
          <t>2014 = Feb–Dec; 2015 not reported. The Business Plan reports these figures as "Annual water sales"</t>
        </is>
      </c>
    </row>
    <row r="56">
      <c r="A56" s="2" t="inlineStr">
        <is>
          <t>Tagbilaran City Waterworks System</t>
        </is>
      </c>
      <c r="B56" s="2" t="inlineStr">
        <is>
          <t>Water collections – Jan to Jul 2025</t>
        </is>
      </c>
      <c r="C56" s="2" t="inlineStr">
        <is>
          <t>PhP</t>
        </is>
      </c>
      <c r="D56" s="2" t="n">
        <v>2025</v>
      </c>
      <c r="E56" s="3" t="n">
        <v>12036951.99</v>
      </c>
      <c r="F56" s="2" t="inlineStr">
        <is>
          <t>05 WSC/BV/collection data – Summary of water collections 2014–2025</t>
        </is>
      </c>
      <c r="G56" s="2" t="inlineStr">
        <is>
          <t>The Business Plan labels this figure "Jan–Jun 2025"</t>
        </is>
      </c>
    </row>
    <row r="57">
      <c r="A57" s="2" t="inlineStr">
        <is>
          <t>Tagbilaran City Waterworks System</t>
        </is>
      </c>
      <c r="B57" s="2" t="inlineStr">
        <is>
          <t>Average collection per m3 billed</t>
        </is>
      </c>
      <c r="C57" s="2" t="inlineStr">
        <is>
          <t>PhP/m3</t>
        </is>
      </c>
      <c r="D57" s="2" t="n">
        <v>2020</v>
      </c>
      <c r="E57" s="3" t="n">
        <v>10.69</v>
      </c>
      <c r="F57" s="2" t="inlineStr">
        <is>
          <t>Calculated</t>
        </is>
      </c>
      <c r="G57" s="2" t="inlineStr">
        <is>
          <t>Collections / billed volume</t>
        </is>
      </c>
    </row>
    <row r="58">
      <c r="A58" s="2" t="inlineStr">
        <is>
          <t>Tagbilaran City Waterworks System</t>
        </is>
      </c>
      <c r="B58" s="2" t="inlineStr">
        <is>
          <t>Average collection per m3 billed</t>
        </is>
      </c>
      <c r="C58" s="2" t="inlineStr">
        <is>
          <t>PhP/m3</t>
        </is>
      </c>
      <c r="D58" s="2" t="n">
        <v>2021</v>
      </c>
      <c r="E58" s="3" t="n">
        <v>10.99</v>
      </c>
      <c r="F58" s="2" t="inlineStr">
        <is>
          <t>Calculated</t>
        </is>
      </c>
      <c r="G58" s="2" t="inlineStr">
        <is>
          <t>Collections / billed volume</t>
        </is>
      </c>
    </row>
    <row r="59">
      <c r="A59" s="2" t="inlineStr">
        <is>
          <t>Tagbilaran City Waterworks System</t>
        </is>
      </c>
      <c r="B59" s="2" t="inlineStr">
        <is>
          <t>Average collection per m3 billed</t>
        </is>
      </c>
      <c r="C59" s="2" t="inlineStr">
        <is>
          <t>PhP/m3</t>
        </is>
      </c>
      <c r="D59" s="2" t="n">
        <v>2022</v>
      </c>
      <c r="E59" s="3" t="n">
        <v>12.39</v>
      </c>
      <c r="F59" s="2" t="inlineStr">
        <is>
          <t>Calculated</t>
        </is>
      </c>
      <c r="G59" s="2" t="inlineStr">
        <is>
          <t>Collections / billed volume</t>
        </is>
      </c>
    </row>
    <row r="60">
      <c r="A60" s="2" t="inlineStr">
        <is>
          <t>Tagbilaran City Waterworks System</t>
        </is>
      </c>
      <c r="B60" s="2" t="inlineStr">
        <is>
          <t>Average collection per m3 billed</t>
        </is>
      </c>
      <c r="C60" s="2" t="inlineStr">
        <is>
          <t>PhP/m3</t>
        </is>
      </c>
      <c r="D60" s="2" t="n">
        <v>2023</v>
      </c>
      <c r="E60" s="3" t="n">
        <v>12.2</v>
      </c>
      <c r="F60" s="2" t="inlineStr">
        <is>
          <t>Calculated</t>
        </is>
      </c>
      <c r="G60" s="2" t="inlineStr">
        <is>
          <t>Collections / billed volume</t>
        </is>
      </c>
    </row>
    <row r="61">
      <c r="A61" s="2" t="inlineStr">
        <is>
          <t>Tagbilaran City Waterworks System</t>
        </is>
      </c>
      <c r="B61" s="2" t="inlineStr">
        <is>
          <t>Average collection per m3 billed</t>
        </is>
      </c>
      <c r="C61" s="2" t="inlineStr">
        <is>
          <t>PhP/m3</t>
        </is>
      </c>
      <c r="D61" s="2" t="n">
        <v>2024</v>
      </c>
      <c r="E61" s="3" t="n">
        <v>12.49</v>
      </c>
      <c r="F61" s="2" t="inlineStr">
        <is>
          <t>Calculated</t>
        </is>
      </c>
      <c r="G61" s="2" t="inlineStr">
        <is>
          <t>Collections / billed volume</t>
        </is>
      </c>
    </row>
    <row r="62">
      <c r="A62" s="2" t="inlineStr">
        <is>
          <t>Tagbilaran City Waterworks System</t>
        </is>
      </c>
      <c r="B62" s="2" t="inlineStr">
        <is>
          <t>Average consumption per connection</t>
        </is>
      </c>
      <c r="C62" s="2" t="inlineStr">
        <is>
          <t>m3/conn/month</t>
        </is>
      </c>
      <c r="D62" s="2" t="n">
        <v>2024</v>
      </c>
      <c r="E62" s="3" t="n">
        <v>23.6</v>
      </c>
      <c r="F62" s="2" t="inlineStr">
        <is>
          <t>Calculated</t>
        </is>
      </c>
      <c r="G62" s="2" t="inlineStr">
        <is>
          <t>Billed volume / connections / 12 (BP reports 26.1)</t>
        </is>
      </c>
    </row>
    <row r="63">
      <c r="A63" s="2" t="inlineStr">
        <is>
          <t>Tagbilaran City Waterworks System</t>
        </is>
      </c>
      <c r="B63" s="2" t="inlineStr">
        <is>
          <t>Operating expenses (calculated)</t>
        </is>
      </c>
      <c r="C63" s="2" t="inlineStr">
        <is>
          <t>PhP/year</t>
        </is>
      </c>
      <c r="D63" s="2" t="n">
        <v>2020</v>
      </c>
      <c r="E63" s="3" t="n">
        <v>17125593</v>
      </c>
      <c r="F63" s="2" t="inlineStr">
        <is>
          <t>01 Business Plan – Table 16</t>
        </is>
      </c>
      <c r="G63" s="2" t="inlineStr">
        <is>
          <t>2022–2023 marked as calculated OPEX</t>
        </is>
      </c>
    </row>
    <row r="64">
      <c r="A64" s="2" t="inlineStr">
        <is>
          <t>Tagbilaran City Waterworks System</t>
        </is>
      </c>
      <c r="B64" s="2" t="inlineStr">
        <is>
          <t>Operating expenses (calculated)</t>
        </is>
      </c>
      <c r="C64" s="2" t="inlineStr">
        <is>
          <t>PhP/year</t>
        </is>
      </c>
      <c r="D64" s="2" t="n">
        <v>2021</v>
      </c>
      <c r="E64" s="3" t="n">
        <v>19450006</v>
      </c>
      <c r="F64" s="2" t="inlineStr">
        <is>
          <t>01 Business Plan – Table 16</t>
        </is>
      </c>
      <c r="G64" s="2" t="inlineStr">
        <is>
          <t>2022–2023 marked as calculated OPEX</t>
        </is>
      </c>
    </row>
    <row r="65">
      <c r="A65" s="2" t="inlineStr">
        <is>
          <t>Tagbilaran City Waterworks System</t>
        </is>
      </c>
      <c r="B65" s="2" t="inlineStr">
        <is>
          <t>Operating expenses (calculated)</t>
        </is>
      </c>
      <c r="C65" s="2" t="inlineStr">
        <is>
          <t>PhP/year</t>
        </is>
      </c>
      <c r="D65" s="2" t="n">
        <v>2022</v>
      </c>
      <c r="E65" s="3" t="n">
        <v>21015606</v>
      </c>
      <c r="F65" s="2" t="inlineStr">
        <is>
          <t>01 Business Plan – Table 16</t>
        </is>
      </c>
      <c r="G65" s="2" t="inlineStr">
        <is>
          <t>2022–2023 marked as calculated OPEX</t>
        </is>
      </c>
    </row>
    <row r="66">
      <c r="A66" s="2" t="inlineStr">
        <is>
          <t>Tagbilaran City Waterworks System</t>
        </is>
      </c>
      <c r="B66" s="2" t="inlineStr">
        <is>
          <t>Operating expenses (calculated)</t>
        </is>
      </c>
      <c r="C66" s="2" t="inlineStr">
        <is>
          <t>PhP/year</t>
        </is>
      </c>
      <c r="D66" s="2" t="n">
        <v>2023</v>
      </c>
      <c r="E66" s="3" t="n">
        <v>26107632</v>
      </c>
      <c r="F66" s="2" t="inlineStr">
        <is>
          <t>01 Business Plan – Table 16</t>
        </is>
      </c>
      <c r="G66" s="2" t="inlineStr">
        <is>
          <t>2022–2023 marked as calculated OPEX</t>
        </is>
      </c>
    </row>
    <row r="67">
      <c r="A67" s="2" t="inlineStr">
        <is>
          <t>Tagbilaran City Waterworks System</t>
        </is>
      </c>
      <c r="B67" s="2" t="inlineStr">
        <is>
          <t>Operating ratio (OPEX / revenue)</t>
        </is>
      </c>
      <c r="C67" s="2" t="inlineStr">
        <is>
          <t>ratio</t>
        </is>
      </c>
      <c r="D67" s="2" t="n">
        <v>2023</v>
      </c>
      <c r="E67" s="3" t="n">
        <v>1.13</v>
      </c>
      <c r="F67" s="2" t="inlineStr">
        <is>
          <t>Calculated</t>
        </is>
      </c>
      <c r="G67" s="2" t="inlineStr">
        <is>
          <t>26,107,632 / 23,144,634.58</t>
        </is>
      </c>
    </row>
    <row r="68">
      <c r="A68" s="2" t="inlineStr">
        <is>
          <t>Tagbilaran City Waterworks System</t>
        </is>
      </c>
      <c r="B68" s="2" t="inlineStr">
        <is>
          <t>Pumping units in operation</t>
        </is>
      </c>
      <c r="C68" s="2" t="inlineStr">
        <is>
          <t>No.</t>
        </is>
      </c>
      <c r="D68" s="2" t="n">
        <v>2025</v>
      </c>
      <c r="E68" s="3" t="n">
        <v>26</v>
      </c>
      <c r="F68" s="2" t="inlineStr">
        <is>
          <t>07 Production data – Pumping station profile</t>
        </is>
      </c>
      <c r="G68" s="2" t="inlineStr">
        <is>
          <t>26 units (PS 1–28 incl. 11a/11b; PS 6 abandoned, PS 13 not operating); 160.5 HP total; all with production meters</t>
        </is>
      </c>
    </row>
    <row r="69">
      <c r="A69" s="2" t="inlineStr">
        <is>
          <t>Tagbilaran City Waterworks System</t>
        </is>
      </c>
      <c r="B69" s="2" t="inlineStr">
        <is>
          <t>Staff – permanent / job order</t>
        </is>
      </c>
      <c r="C69" s="2" t="inlineStr">
        <is>
          <t>No.</t>
        </is>
      </c>
      <c r="D69" s="2" t="n">
        <v>2025</v>
      </c>
      <c r="E69" s="2" t="inlineStr">
        <is>
          <t>9 / 15 (1 / 5 female)</t>
        </is>
      </c>
      <c r="F69" s="2" t="inlineStr">
        <is>
          <t>04 Filled-up questionnaire – Table 13</t>
        </is>
      </c>
      <c r="G69" s="2" t="inlineStr">
        <is>
          <t>Matches Business Plan Table 6</t>
        </is>
      </c>
    </row>
  </sheetData>
  <autoFilter ref="A1:G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4" customWidth="1" min="4" max="4"/>
    <col width="16" customWidth="1" min="5" max="5"/>
    <col width="80" customWidth="1" min="6" max="6"/>
  </cols>
  <sheetData>
    <row r="1">
      <c r="A1" s="1" t="inlineStr">
        <is>
          <t>Utility</t>
        </is>
      </c>
      <c r="B1" s="1" t="inlineStr">
        <is>
          <t>Customer class</t>
        </is>
      </c>
      <c r="C1" s="1" t="inlineStr">
        <is>
          <t>Block (m3/month)</t>
        </is>
      </c>
      <c r="D1" s="1" t="inlineStr">
        <is>
          <t>Rate (PhP/m3)</t>
        </is>
      </c>
      <c r="E1" s="1" t="inlineStr">
        <is>
          <t>Fixed charge (PhP)</t>
        </is>
      </c>
      <c r="F1" s="1" t="inlineStr">
        <is>
          <t>Note</t>
        </is>
      </c>
    </row>
    <row r="2">
      <c r="A2" s="2" t="inlineStr">
        <is>
          <t>Tagbilaran City Waterworks System</t>
        </is>
      </c>
      <c r="B2" s="2" t="inlineStr">
        <is>
          <t>Residential &amp; Institutional</t>
        </is>
      </c>
      <c r="C2" s="2" t="inlineStr">
        <is>
          <t>0–10 (minimum)</t>
        </is>
      </c>
      <c r="D2" s="2" t="n"/>
      <c r="E2" s="2" t="n">
        <v>62</v>
      </c>
      <c r="F2" s="2" t="inlineStr">
        <is>
          <t>Minimum charge for the first 10 m3</t>
        </is>
      </c>
    </row>
    <row r="3">
      <c r="A3" s="2" t="inlineStr">
        <is>
          <t>Tagbilaran City Waterworks System</t>
        </is>
      </c>
      <c r="B3" s="2" t="inlineStr">
        <is>
          <t>Residential &amp; Institutional</t>
        </is>
      </c>
      <c r="C3" s="2" t="inlineStr">
        <is>
          <t>11–20</t>
        </is>
      </c>
      <c r="D3" s="2" t="n">
        <v>7</v>
      </c>
      <c r="E3" s="2" t="n"/>
      <c r="F3" s="2" t="inlineStr"/>
    </row>
    <row r="4">
      <c r="A4" s="2" t="inlineStr">
        <is>
          <t>Tagbilaran City Waterworks System</t>
        </is>
      </c>
      <c r="B4" s="2" t="inlineStr">
        <is>
          <t>Residential &amp; Institutional</t>
        </is>
      </c>
      <c r="C4" s="2" t="inlineStr">
        <is>
          <t>21–30</t>
        </is>
      </c>
      <c r="D4" s="2" t="n">
        <v>8</v>
      </c>
      <c r="E4" s="2" t="n"/>
      <c r="F4" s="2" t="inlineStr"/>
    </row>
    <row r="5">
      <c r="A5" s="2" t="inlineStr">
        <is>
          <t>Tagbilaran City Waterworks System</t>
        </is>
      </c>
      <c r="B5" s="2" t="inlineStr">
        <is>
          <t>Residential &amp; Institutional</t>
        </is>
      </c>
      <c r="C5" s="2" t="inlineStr">
        <is>
          <t>31–40</t>
        </is>
      </c>
      <c r="D5" s="2" t="n">
        <v>11</v>
      </c>
      <c r="E5" s="2" t="n"/>
      <c r="F5" s="2" t="inlineStr"/>
    </row>
    <row r="6">
      <c r="A6" s="2" t="inlineStr">
        <is>
          <t>Tagbilaran City Waterworks System</t>
        </is>
      </c>
      <c r="B6" s="2" t="inlineStr">
        <is>
          <t>Residential &amp; Institutional</t>
        </is>
      </c>
      <c r="C6" s="2" t="inlineStr">
        <is>
          <t>41–50</t>
        </is>
      </c>
      <c r="D6" s="2" t="n">
        <v>14</v>
      </c>
      <c r="E6" s="2" t="n"/>
      <c r="F6" s="2" t="inlineStr"/>
    </row>
    <row r="7">
      <c r="A7" s="2" t="inlineStr">
        <is>
          <t>Tagbilaran City Waterworks System</t>
        </is>
      </c>
      <c r="B7" s="2" t="inlineStr">
        <is>
          <t>Residential &amp; Institutional</t>
        </is>
      </c>
      <c r="C7" s="2" t="inlineStr">
        <is>
          <t>51–60</t>
        </is>
      </c>
      <c r="D7" s="2" t="n">
        <v>17</v>
      </c>
      <c r="E7" s="2" t="n"/>
      <c r="F7" s="2" t="inlineStr"/>
    </row>
    <row r="8">
      <c r="A8" s="2" t="inlineStr">
        <is>
          <t>Tagbilaran City Waterworks System</t>
        </is>
      </c>
      <c r="B8" s="2" t="inlineStr">
        <is>
          <t>Residential &amp; Institutional</t>
        </is>
      </c>
      <c r="C8" s="2" t="inlineStr">
        <is>
          <t>61–70</t>
        </is>
      </c>
      <c r="D8" s="2" t="n">
        <v>20</v>
      </c>
      <c r="E8" s="2" t="n"/>
      <c r="F8" s="2" t="inlineStr"/>
    </row>
    <row r="9">
      <c r="A9" s="2" t="inlineStr">
        <is>
          <t>Tagbilaran City Waterworks System</t>
        </is>
      </c>
      <c r="B9" s="2" t="inlineStr">
        <is>
          <t>Residential &amp; Institutional</t>
        </is>
      </c>
      <c r="C9" s="2" t="inlineStr">
        <is>
          <t>71 and above</t>
        </is>
      </c>
      <c r="D9" s="2" t="n">
        <v>23</v>
      </c>
      <c r="E9" s="2" t="n"/>
      <c r="F9" s="2" t="inlineStr"/>
    </row>
    <row r="10">
      <c r="A10" s="2" t="inlineStr">
        <is>
          <t>Tagbilaran City Waterworks System</t>
        </is>
      </c>
      <c r="B10" s="2" t="inlineStr">
        <is>
          <t>Commercial</t>
        </is>
      </c>
      <c r="C10" s="2" t="inlineStr">
        <is>
          <t>All consumption</t>
        </is>
      </c>
      <c r="D10" s="2" t="n">
        <v>23</v>
      </c>
      <c r="E10" s="2" t="n"/>
      <c r="F10" s="2" t="inlineStr">
        <is>
          <t>Flat rate per m3</t>
        </is>
      </c>
    </row>
    <row r="11">
      <c r="A11" s="2" t="inlineStr">
        <is>
          <t>Tagbilaran City Waterworks System</t>
        </is>
      </c>
      <c r="B11" s="2" t="inlineStr">
        <is>
          <t>Late payment</t>
        </is>
      </c>
      <c r="C11" s="2" t="inlineStr">
        <is>
          <t>—</t>
        </is>
      </c>
      <c r="D11" s="2" t="n"/>
      <c r="E11" s="2" t="n"/>
      <c r="F11" s="2" t="inlineStr">
        <is>
          <t>15% penalty on the amount due</t>
        </is>
      </c>
    </row>
    <row r="12">
      <c r="A12" s="2" t="inlineStr">
        <is>
          <t>Tagbilaran City Waterworks System</t>
        </is>
      </c>
      <c r="B12" s="2" t="inlineStr">
        <is>
          <t>Due dates</t>
        </is>
      </c>
      <c r="C12" s="2" t="inlineStr">
        <is>
          <t>—</t>
        </is>
      </c>
      <c r="D12" s="2" t="n"/>
      <c r="E12" s="2" t="n"/>
      <c r="F12" s="2" t="inlineStr">
        <is>
          <t>7th: Ubujan, Uptown, Cabawan · 15th: Booy, Manga (Zones 6–7) · 21st: Dao, Taloto (Zone 9), San Isidro, Bool · 30th: Cogon, Taloto (Zone 8), Tiptip</t>
        </is>
      </c>
    </row>
    <row r="14">
      <c r="A14" s="5" t="inlineStr">
        <is>
          <t>Source: TCWS "New Water Rate – Effective September 2016" (photo provided by the user).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65" customWidth="1" min="4" max="4"/>
    <col width="10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Business Plan / previous figure</t>
        </is>
      </c>
      <c r="D1" s="1" t="inlineStr">
        <is>
          <t>Supporting data</t>
        </is>
      </c>
      <c r="E1" s="1" t="inlineStr">
        <is>
          <t>Severity</t>
        </is>
      </c>
      <c r="F1" s="1" t="inlineStr">
        <is>
          <t>Recommended value / action</t>
        </is>
      </c>
    </row>
    <row r="2" ht="75" customHeight="1">
      <c r="A2" s="2" t="inlineStr">
        <is>
          <t>INC-01</t>
        </is>
      </c>
      <c r="B2" s="2" t="inlineStr">
        <is>
          <t>Connections</t>
        </is>
      </c>
      <c r="C2" s="2" t="inlineStr">
        <is>
          <t>BP: 6,084 connections "as of June/August 2025" (6,017 res / 34 com / 33 inst).</t>
        </is>
      </c>
      <c r="D2" s="2" t="inlineStr">
        <is>
          <t>Utility records: 6,461 (Dec 2024) and 6,314 (Dec 2025). 6,017/34/33 equals the per-barangay breakdown list, which is repeated unchanged across 2022–2025 sheets.</t>
        </is>
      </c>
      <c r="E2" s="2" t="inlineStr">
        <is>
          <t>High</t>
        </is>
      </c>
      <c r="F2" s="2" t="inlineStr">
        <is>
          <t>Use 6,461 (2024) and 6,314 (2025). The per-barangay breakdown is not updated by the utility; do not use it.</t>
        </is>
      </c>
    </row>
    <row r="3" ht="75" customHeight="1">
      <c r="A3" s="2" t="inlineStr">
        <is>
          <t>INC-02</t>
        </is>
      </c>
      <c r="B3" s="2" t="inlineStr">
        <is>
          <t>Connections trend</t>
        </is>
      </c>
      <c r="C3" s="2" t="inlineStr">
        <is>
          <t>BP implies growth.</t>
        </is>
      </c>
      <c r="D3" s="2" t="inlineStr">
        <is>
          <t>Connections fell from 6,461 (2024) to 6,314 (2025), −147.</t>
        </is>
      </c>
      <c r="E3" s="2" t="inlineStr">
        <is>
          <t>Medium</t>
        </is>
      </c>
      <c r="F3" s="2" t="inlineStr">
        <is>
          <t>Verify disconnections/inactive accounts.</t>
        </is>
      </c>
    </row>
    <row r="4" ht="75" customHeight="1">
      <c r="A4" s="2" t="inlineStr">
        <is>
          <t>INC-03</t>
        </is>
      </c>
      <c r="B4" s="2" t="inlineStr">
        <is>
          <t>Billed volume baseline</t>
        </is>
      </c>
      <c r="C4" s="2" t="inlineStr">
        <is>
          <t>BP uses 1,897,357 m3 (2023) and 5.26 MLD (H1 2025); 2024 not reported.</t>
        </is>
      </c>
      <c r="D4" s="2" t="inlineStr">
        <is>
          <t>Consumption summary 2024 = 1,833,134 m3.</t>
        </is>
      </c>
      <c r="E4" s="2" t="inlineStr">
        <is>
          <t>Medium</t>
        </is>
      </c>
      <c r="F4" s="2" t="inlineStr">
        <is>
          <t>Use 1,833,134 m3 as 2024 baseline.</t>
        </is>
      </c>
    </row>
    <row r="5" ht="75" customHeight="1">
      <c r="A5" s="2" t="inlineStr">
        <is>
          <t>INC-04</t>
        </is>
      </c>
      <c r="B5" s="2" t="inlineStr">
        <is>
          <t>NRW</t>
        </is>
      </c>
      <c r="C5" s="2" t="inlineStr">
        <is>
          <t>BP: 31% (H1 2025). Table 23 assumes 40% in 2025.</t>
        </is>
      </c>
      <c r="D5" s="2" t="inlineStr">
        <is>
          <t>Annual records: 46.3% (2023), 39.9% (2024); monthly spot checks 48–54% (Dec 2021, Dec 2022). Financial model: 51% (2022), 60% (2023), 44% (2024). The 31% in H1 2025 relies on production data with repeated (likely estimated) monthly readings.</t>
        </is>
      </c>
      <c r="E5" s="2" t="inlineStr">
        <is>
          <t>High</t>
        </is>
      </c>
      <c r="F5" s="2" t="inlineStr">
        <is>
          <t>Report NRW 2024 = 39.9% as baseline; treat 31% as provisional until production metering is verified.</t>
        </is>
      </c>
    </row>
    <row r="6" ht="75" customHeight="1">
      <c r="A6" s="2" t="inlineStr">
        <is>
          <t>INC-05</t>
        </is>
      </c>
      <c r="B6" s="2" t="inlineStr">
        <is>
          <t>Production</t>
        </is>
      </c>
      <c r="C6" s="2" t="inlineStr">
        <is>
          <t>BP: 7.66 MLD (H1 2025); deepwell capacity 10.39 MLD (model).</t>
        </is>
      </c>
      <c r="D6" s="2" t="inlineStr">
        <is>
          <t>Production fell from 9.69 MLD (2023) to 8.35 MLD (2024) and 7.66 MLD (H1 2025). Several units report zero in Sep–Dec 2024.</t>
        </is>
      </c>
      <c r="E6" s="2" t="inlineStr">
        <is>
          <t>Medium</t>
        </is>
      </c>
      <c r="F6" s="2" t="inlineStr">
        <is>
          <t>Confirm whether the decline is real (source depletion, pump failures) or a recording gap.</t>
        </is>
      </c>
    </row>
    <row r="7" ht="75" customHeight="1">
      <c r="A7" s="2" t="inlineStr">
        <is>
          <t>INC-06</t>
        </is>
      </c>
      <c r="B7" s="2" t="inlineStr">
        <is>
          <t>Revenue label</t>
        </is>
      </c>
      <c r="C7" s="2" t="inlineStr">
        <is>
          <t>BP: "Annual water sales 2024: PhP 22,887,685.65; Jan–Jun 2025: PhP 12,036,951.99".</t>
        </is>
      </c>
      <c r="D7" s="2" t="inlineStr">
        <is>
          <t>Both figures are collections, not sales/billings; the 2025 figure covers Jan–Jul. Questionnaire shows 22,882,685.67 (typo).</t>
        </is>
      </c>
      <c r="E7" s="2" t="inlineStr">
        <is>
          <t>High</t>
        </is>
      </c>
      <c r="F7" s="2" t="inlineStr">
        <is>
          <t>Label as collections. Billings are still missing, so collection efficiency cannot be calculated.</t>
        </is>
      </c>
    </row>
    <row r="8" ht="75" customHeight="1">
      <c r="A8" s="2" t="inlineStr">
        <is>
          <t>INC-07</t>
        </is>
      </c>
      <c r="B8" s="2" t="inlineStr">
        <is>
          <t>Current tariff</t>
        </is>
      </c>
      <c r="C8" s="2" t="inlineStr">
        <is>
          <t>BP: "TCWS is charging PhP 6.20/m3"; Table 5 shows average tariff 13.76.</t>
        </is>
      </c>
      <c r="D8" s="2" t="inlineStr">
        <is>
          <t>PhP 6.20 is only the minimum charge (PhP 62 for 10 m3). The block tariff (Sept 2016) goes from 7 to 23 PhP/m3; commercial 23 PhP/m3. 13.76 is the 2023 cost-recovery tariff, not the actual average.</t>
        </is>
      </c>
      <c r="E8" s="2" t="inlineStr">
        <is>
          <t>High</t>
        </is>
      </c>
      <c r="F8" s="2" t="inlineStr">
        <is>
          <t>Describe the tariff as the Sept 2016 block tariff; average collected 12.49 PhP/m3 (2024).</t>
        </is>
      </c>
    </row>
    <row r="9" ht="75" customHeight="1">
      <c r="A9" s="2" t="inlineStr">
        <is>
          <t>INC-08</t>
        </is>
      </c>
      <c r="B9" s="2" t="inlineStr">
        <is>
          <t>Average realized price</t>
        </is>
      </c>
      <c r="C9" s="2" t="inlineStr">
        <is>
          <t>—</t>
        </is>
      </c>
      <c r="D9" s="2" t="inlineStr">
        <is>
          <t>Collections/billed volume = 12.49 PhP/m3 (2024), but a typical residential bill (23 m3/month) under the 2016 tariff is about PhP 6.8/m3.</t>
        </is>
      </c>
      <c r="E9" s="2" t="inlineStr">
        <is>
          <t>High</t>
        </is>
      </c>
      <c r="F9" s="2" t="inlineStr">
        <is>
          <t>Check whether collections include arrears, penalties, connection fees or other income, or whether billed volume is under-recorded.</t>
        </is>
      </c>
    </row>
    <row r="10" ht="75" customHeight="1">
      <c r="A10" s="2" t="inlineStr">
        <is>
          <t>INC-09</t>
        </is>
      </c>
      <c r="B10" s="2" t="inlineStr">
        <is>
          <t>Operating ratio</t>
        </is>
      </c>
      <c r="C10" s="2" t="inlineStr">
        <is>
          <t>BP gives no 2023 revenue.</t>
        </is>
      </c>
      <c r="D10" s="2" t="inlineStr">
        <is>
          <t>2023 collections PhP 23,144,634.58 → operating ratio (OPEX/revenue) = 1.13; matches the financial model formula (Operating expenses / Operating revenue).</t>
        </is>
      </c>
      <c r="E10" s="2" t="inlineStr">
        <is>
          <t>Low</t>
        </is>
      </c>
      <c r="F10" s="2" t="inlineStr">
        <is>
          <t>Use 1.13 (2023) as baseline; target ≤ 1.00.</t>
        </is>
      </c>
    </row>
    <row r="11" ht="75" customHeight="1">
      <c r="A11" s="2" t="inlineStr">
        <is>
          <t>INC-10</t>
        </is>
      </c>
      <c r="B11" s="2" t="inlineStr">
        <is>
          <t>Average consumption</t>
        </is>
      </c>
      <c r="C11" s="2" t="inlineStr">
        <is>
          <t>BP: 26.1 m3/connection/month.</t>
        </is>
      </c>
      <c r="D11" s="2" t="inlineStr">
        <is>
          <t>2024 records: 23.6 m3/connection/month.</t>
        </is>
      </c>
      <c r="E11" s="2" t="inlineStr">
        <is>
          <t>Low</t>
        </is>
      </c>
      <c r="F11" s="2" t="inlineStr">
        <is>
          <t>Use 23.6 for 2024.</t>
        </is>
      </c>
    </row>
    <row r="12" ht="75" customHeight="1">
      <c r="A12" s="2" t="inlineStr">
        <is>
          <t>INC-11</t>
        </is>
      </c>
      <c r="B12" s="2" t="inlineStr">
        <is>
          <t>CAPEX</t>
        </is>
      </c>
      <c r="C12" s="2" t="inlineStr">
        <is>
          <t>BP Table 14: PhP 255.4 M (2026–2029).</t>
        </is>
      </c>
      <c r="D12" s="2" t="inlineStr">
        <is>
          <t>Financial model: PhP 579.2 M (2026–2029) + PhP 114.1 M (2035); includes meter replacement (PhP 166.8 M), fleet (PhP 27 M), DMAs, booster stations and contingencies.</t>
        </is>
      </c>
      <c r="E12" s="2" t="inlineStr">
        <is>
          <t>High</t>
        </is>
      </c>
      <c r="F12" s="2" t="inlineStr">
        <is>
          <t>Align the CAPEX figure in the plan with the model, or explain the difference.</t>
        </is>
      </c>
    </row>
    <row r="13" ht="75" customHeight="1">
      <c r="A13" s="2" t="inlineStr">
        <is>
          <t>INC-12</t>
        </is>
      </c>
      <c r="B13" s="2" t="inlineStr">
        <is>
          <t>Tariff volume base</t>
        </is>
      </c>
      <c r="C13" s="2" t="inlineStr">
        <is>
          <t>BP proposed tariff PhP 214.03 per first 10 m3.</t>
        </is>
      </c>
      <c r="D13" s="2" t="inlineStr">
        <is>
          <t>The model divides the revenue requirement (PhP 334.5 M in 2030) by 15.25 M m3, which includes 8.56 M m3 from private providers (PWSP). On bulk water volume only (6.69 M m3), the required average tariff would be about PhP 50/m3, not PhP 21.9/m3.</t>
        </is>
      </c>
      <c r="E13" s="2" t="inlineStr">
        <is>
          <t>High</t>
        </is>
      </c>
      <c r="F13" s="2" t="inlineStr">
        <is>
          <t>Review the volume base of the tariff calculation.</t>
        </is>
      </c>
    </row>
    <row r="14" ht="75" customHeight="1">
      <c r="A14" s="2" t="inlineStr">
        <is>
          <t>INC-13</t>
        </is>
      </c>
      <c r="B14" s="2" t="inlineStr">
        <is>
          <t>OPEX assumptions</t>
        </is>
      </c>
      <c r="C14" s="2" t="inlineStr">
        <is>
          <t>BP Table 15 uses power cost PhP 87.8 M (2030).</t>
        </is>
      </c>
      <c r="D14" s="2" t="inlineStr">
        <is>
          <t>Model has two OPEX versions: PhP 13.13/m3 (OPEX sheet) vs PhP 10.3/m3 ("realistic" sheet). Chemical cost is zero in the OPEX sheet although PhP 0.5/m3 is assumed. A 10% service fee is added without explanation.</t>
        </is>
      </c>
      <c r="E14" s="2" t="inlineStr">
        <is>
          <t>Medium</t>
        </is>
      </c>
      <c r="F14" s="2" t="inlineStr">
        <is>
          <t>Select one OPEX scenario and fix the chemical cost link.</t>
        </is>
      </c>
    </row>
    <row r="15" ht="75" customHeight="1">
      <c r="A15" s="2" t="inlineStr">
        <is>
          <t>INC-14</t>
        </is>
      </c>
      <c r="B15" s="2" t="inlineStr">
        <is>
          <t>Staffing ratio</t>
        </is>
      </c>
      <c r="C15" s="2" t="inlineStr">
        <is>
          <t>BP KPI: "1 regular staff: 100 connections" and "1:250 industry average".</t>
        </is>
      </c>
      <c r="D15" s="2" t="inlineStr">
        <is>
          <t>Model label "Staff (1:1000)" but applies 1 staff per 250 connections (42 staff in 2030 vs 24 today).</t>
        </is>
      </c>
      <c r="E15" s="2" t="inlineStr">
        <is>
          <t>Low</t>
        </is>
      </c>
      <c r="F15" s="2" t="inlineStr">
        <is>
          <t>Use one staffing standard.</t>
        </is>
      </c>
    </row>
    <row r="16" ht="75" customHeight="1">
      <c r="A16" s="2" t="inlineStr">
        <is>
          <t>INC-15</t>
        </is>
      </c>
      <c r="B16" s="2" t="inlineStr">
        <is>
          <t>Year labels</t>
        </is>
      </c>
      <c r="C16" s="2" t="inlineStr">
        <is>
          <t>BP Table 15: Year 5 = 2035.</t>
        </is>
      </c>
      <c r="D16" s="2" t="inlineStr">
        <is>
          <t>Model: Year 5 = 2034.</t>
        </is>
      </c>
      <c r="E16" s="2" t="inlineStr">
        <is>
          <t>Low</t>
        </is>
      </c>
      <c r="F16" s="2" t="inlineStr">
        <is>
          <t>Align year labels.</t>
        </is>
      </c>
    </row>
    <row r="17" ht="75" customHeight="1">
      <c r="A17" s="2" t="inlineStr">
        <is>
          <t>INC-16</t>
        </is>
      </c>
      <c r="B17" s="2" t="inlineStr">
        <is>
          <t>Demand projection</t>
        </is>
      </c>
      <c r="C17" s="2" t="inlineStr">
        <is>
          <t>—</t>
        </is>
      </c>
      <c r="D17" s="2" t="inlineStr">
        <is>
          <t>Model assumes 100% coverage of the whole city from 2025 (27,402 connections) while the tariff uses 10,493 connections in 2030; historical WSC in the model (5,867 in 2023; 5,873 in 2024) and billed volume (1,418,803 m3 in 2023) differ from utility records.</t>
        </is>
      </c>
      <c r="E17" s="2" t="inlineStr">
        <is>
          <t>Medium</t>
        </is>
      </c>
      <c r="F17" s="2" t="inlineStr">
        <is>
          <t>Update the demand sheet with utility records.</t>
        </is>
      </c>
    </row>
    <row r="18" ht="75" customHeight="1">
      <c r="A18" s="2" t="inlineStr">
        <is>
          <t>INC-17</t>
        </is>
      </c>
      <c r="B18" s="2" t="inlineStr">
        <is>
          <t>Population</t>
        </is>
      </c>
      <c r="C18" s="2" t="inlineStr">
        <is>
          <t>BP: 106,120 (2024 census).</t>
        </is>
      </c>
      <c r="D18" s="2" t="inlineStr">
        <is>
          <t>BP Table 1 and model use 112,348 (projected 2024).</t>
        </is>
      </c>
      <c r="E18" s="2" t="inlineStr">
        <is>
          <t>Low</t>
        </is>
      </c>
      <c r="F18" s="2" t="inlineStr">
        <is>
          <t>State which figure is used for coverage.</t>
        </is>
      </c>
    </row>
    <row r="19" ht="75" customHeight="1">
      <c r="A19" s="2" t="inlineStr">
        <is>
          <t>INC-18</t>
        </is>
      </c>
      <c r="B19" s="2" t="inlineStr">
        <is>
          <t>Barangays served</t>
        </is>
      </c>
      <c r="C19" s="2" t="inlineStr">
        <is>
          <t>BP: 10 of 15.</t>
        </is>
      </c>
      <c r="D19" s="2" t="inlineStr">
        <is>
          <t>Questionnaire states 7.</t>
        </is>
      </c>
      <c r="E19" s="2" t="inlineStr">
        <is>
          <t>Low</t>
        </is>
      </c>
      <c r="F19" s="2" t="inlineStr">
        <is>
          <t>Confirm; records show accounts in 10 barangays plus Uptown.</t>
        </is>
      </c>
    </row>
    <row r="20" ht="75" customHeight="1">
      <c r="A20" s="2" t="inlineStr">
        <is>
          <t>INC-19</t>
        </is>
      </c>
      <c r="B20" s="2" t="inlineStr">
        <is>
          <t>Pumping stations</t>
        </is>
      </c>
      <c r="C20" s="2" t="inlineStr">
        <is>
          <t>Questionnaire lists 10 stations.</t>
        </is>
      </c>
      <c r="D20" s="2" t="inlineStr">
        <is>
          <t>Production records and station profile list 26 pumping units (160.5 HP).</t>
        </is>
      </c>
      <c r="E20" s="2" t="inlineStr">
        <is>
          <t>Low</t>
        </is>
      </c>
      <c r="F20" s="2" t="inlineStr">
        <is>
          <t>Use 26 pumping units.</t>
        </is>
      </c>
    </row>
  </sheetData>
  <autoFilter ref="A1:F20"/>
  <conditionalFormatting sqref="E2:E20">
    <cfRule type="expression" priority="1" dxfId="0">
      <formula>$E2="High"</formula>
    </cfRule>
    <cfRule type="expression" priority="2" dxfId="1">
      <formula>$E2="Medium"</formula>
    </cfRule>
    <cfRule type="expression" priority="3" dxfId="2">
      <formula>$E2="Low"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80" customWidth="1" min="4" max="4"/>
  </cols>
  <sheetData>
    <row r="1">
      <c r="A1" s="1" t="inlineStr">
        <is>
          <t>Item</t>
        </is>
      </c>
      <c r="B1" s="1" t="inlineStr">
        <is>
          <t>Previous status</t>
        </is>
      </c>
      <c r="C1" s="1" t="inlineStr">
        <is>
          <t>Updated status</t>
        </is>
      </c>
      <c r="D1" s="1" t="inlineStr">
        <is>
          <t>Evidence</t>
        </is>
      </c>
    </row>
    <row r="2">
      <c r="A2" s="2" t="inlineStr">
        <is>
          <t>OBJ-1 baseline billed volume 1,833,134 m3 (2024)</t>
        </is>
      </c>
      <c r="B2" s="2" t="inlineStr">
        <is>
          <t>Not found in BP</t>
        </is>
      </c>
      <c r="C2" s="2" t="inlineStr">
        <is>
          <t>Confirmed</t>
        </is>
      </c>
      <c r="D2" s="2" t="inlineStr">
        <is>
          <t>Consumption summary 2024 total = 1,833,134 m3.</t>
        </is>
      </c>
    </row>
    <row r="3">
      <c r="A3" s="2" t="inlineStr">
        <is>
          <t>OBJ-1 baseline 6,314 connections (2025)</t>
        </is>
      </c>
      <c r="B3" s="2" t="inlineStr">
        <is>
          <t>Not found in BP</t>
        </is>
      </c>
      <c r="C3" s="2" t="inlineStr">
        <is>
          <t>Confirmed</t>
        </is>
      </c>
      <c r="D3" s="2" t="inlineStr">
        <is>
          <t>Total accounts as of December 2025 = 6,314.</t>
        </is>
      </c>
    </row>
    <row r="4">
      <c r="A4" s="2" t="inlineStr">
        <is>
          <t>OBJ-4 tariff unchanged since 2016</t>
        </is>
      </c>
      <c r="B4" s="2" t="inlineStr">
        <is>
          <t>Not found in BP</t>
        </is>
      </c>
      <c r="C4" s="2" t="inlineStr">
        <is>
          <t>Confirmed</t>
        </is>
      </c>
      <c r="D4" s="2" t="inlineStr">
        <is>
          <t>Tariff sheet "New Water Rate – Effective September 2016".</t>
        </is>
      </c>
    </row>
    <row r="5">
      <c r="A5" s="2" t="inlineStr">
        <is>
          <t>OBJ-4 about 12.5 PhP collected per m3</t>
        </is>
      </c>
      <c r="B5" s="2" t="inlineStr">
        <is>
          <t>Not found in BP</t>
        </is>
      </c>
      <c r="C5" s="2" t="inlineStr">
        <is>
          <t>Confirmed</t>
        </is>
      </c>
      <c r="D5" s="2" t="inlineStr">
        <is>
          <t>22,887,685.65 / 1,833,134 = 12.49 PhP/m3 (2024).</t>
        </is>
      </c>
    </row>
    <row r="6">
      <c r="A6" s="2" t="inlineStr">
        <is>
          <t>OBJ-4 operating ratio 1.13 (2023)</t>
        </is>
      </c>
      <c r="B6" s="2" t="inlineStr">
        <is>
          <t>Not found in BP</t>
        </is>
      </c>
      <c r="C6" s="2" t="inlineStr">
        <is>
          <t>Confirmed</t>
        </is>
      </c>
      <c r="D6" s="2" t="inlineStr">
        <is>
          <t>26,107,632 / 23,144,634.58 = 1.13; formula OPEX / revenue per financial model.</t>
        </is>
      </c>
    </row>
    <row r="7">
      <c r="A7" s="2" t="inlineStr">
        <is>
          <t>OBJ-2 baseline 31.3% (H1 2025)</t>
        </is>
      </c>
      <c r="B7" s="2" t="inlineStr">
        <is>
          <t>Confirmed</t>
        </is>
      </c>
      <c r="C7" s="2" t="inlineStr">
        <is>
          <t>Adjusted</t>
        </is>
      </c>
      <c r="D7" s="2" t="inlineStr">
        <is>
          <t>Valid for H1 2025 but production readings look estimated; 2024 annual NRW = 39.9%.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2026-10-15T02:05:54Z</dcterms:created>
  <dcterms:modified xmlns:dcterms="http://purl.org/dc/terms/" xmlns:xsi="http://www.w3.org/2001/XMLSchema-instance" xsi:type="dcterms:W3CDTF">2026-10-15T02:05:54Z</dcterms:modified>
</cp:coreProperties>
</file>