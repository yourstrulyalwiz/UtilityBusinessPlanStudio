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" sheetId="1" state="visible" r:id="rId3"/>
    <sheet name="Vari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<sst xmlns="http://schemas.openxmlformats.org/spreadsheetml/2006/main" count="402" uniqueCount="249">
  <si>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Tagbilaran City Waterworks System (TCWS) – Performance indicators</t>
  </si>
  <si>
    <t xml:space="preserve">Level 1 = Elementary · 2 = Basic · 3 = Good · 4 = Well-performing · 5 = World-class. The achieved range is highlighted.</t>
  </si>
  <si>
    <t xml:space="preserve">Dimension</t>
  </si>
  <si>
    <t xml:space="preserve">Indicator</t>
  </si>
  <si>
    <t xml:space="preserve">Unit</t>
  </si>
  <si>
    <t xml:space="preserve">Formula</t>
  </si>
  <si>
    <t xml:space="preserve">Value</t>
  </si>
  <si>
    <t xml:space="preserve">Level 1
Elementary</t>
  </si>
  <si>
    <t xml:space="preserve">Level 2
Basic</t>
  </si>
  <si>
    <t xml:space="preserve">Level 3
Good</t>
  </si>
  <si>
    <t xml:space="preserve">Level 4
Well-performing</t>
  </si>
  <si>
    <t xml:space="preserve">Level 5
World-class</t>
  </si>
  <si>
    <t xml:space="preserve">Achieved level</t>
  </si>
  <si>
    <t xml:space="preserve">Direction</t>
  </si>
  <si>
    <t xml:space="preserve">Threshold L2</t>
  </si>
  <si>
    <t xml:space="preserve">Threshold L3</t>
  </si>
  <si>
    <t xml:space="preserve">Threshold L4</t>
  </si>
  <si>
    <t xml:space="preserve">Threshold L5</t>
  </si>
  <si>
    <t xml:space="preserve">Reliable</t>
  </si>
  <si>
    <t xml:space="preserve">Continuity (hours/day on average)</t>
  </si>
  <si>
    <t xml:space="preserve">h/day</t>
  </si>
  <si>
    <t xml:space="preserve">Average hours of supply</t>
  </si>
  <si>
    <t xml:space="preserve">&lt; 8</t>
  </si>
  <si>
    <t xml:space="preserve">8 – 15</t>
  </si>
  <si>
    <t xml:space="preserve">15 – 20</t>
  </si>
  <si>
    <t xml:space="preserve">20 – 24</t>
  </si>
  <si>
    <t xml:space="preserve">≥ 24</t>
  </si>
  <si>
    <t xml:space="preserve">&gt;</t>
  </si>
  <si>
    <t xml:space="preserve">Continuity (% of customers with 24/7 supply)</t>
  </si>
  <si>
    <t xml:space="preserve">%</t>
  </si>
  <si>
    <t xml:space="preserve">Customers with 24/7 / total</t>
  </si>
  <si>
    <t xml:space="preserve">&lt; 5%</t>
  </si>
  <si>
    <t xml:space="preserve">5% – 25%</t>
  </si>
  <si>
    <t xml:space="preserve">25% – 60%</t>
  </si>
  <si>
    <t xml:space="preserve">60% – 100%</t>
  </si>
  <si>
    <t xml:space="preserve">≥ 100%</t>
  </si>
  <si>
    <t xml:space="preserve">Availability (l/pc/day)</t>
  </si>
  <si>
    <t xml:space="preserve">l/cap/day</t>
  </si>
  <si>
    <t xml:space="preserve">Domestic sales × 1000 / 365 / population served</t>
  </si>
  <si>
    <t xml:space="preserve">&lt; 30</t>
  </si>
  <si>
    <t xml:space="preserve">30 – 50</t>
  </si>
  <si>
    <t xml:space="preserve">50 – 120</t>
  </si>
  <si>
    <t xml:space="preserve">120 – 240</t>
  </si>
  <si>
    <t xml:space="preserve">≥ 240</t>
  </si>
  <si>
    <t xml:space="preserve">Fecal sludge emptying services provided in less than 24 hours</t>
  </si>
  <si>
    <t xml:space="preserve">Emptied &lt; 24 h / requested</t>
  </si>
  <si>
    <t xml:space="preserve">&lt; 30%</t>
  </si>
  <si>
    <t xml:space="preserve">30% – 50%</t>
  </si>
  <si>
    <t xml:space="preserve">50% – 75%</t>
  </si>
  <si>
    <t xml:space="preserve">75% – 90%</t>
  </si>
  <si>
    <t xml:space="preserve">≥ 90%</t>
  </si>
  <si>
    <t xml:space="preserve">Safe</t>
  </si>
  <si>
    <t xml:space="preserve">Drinking Water Quality (%)</t>
  </si>
  <si>
    <t xml:space="preserve">Compliant samples / total</t>
  </si>
  <si>
    <t xml:space="preserve">&lt; 50%</t>
  </si>
  <si>
    <t xml:space="preserve">50% – 85%</t>
  </si>
  <si>
    <t xml:space="preserve">85% – 95%</t>
  </si>
  <si>
    <t xml:space="preserve">95% – 97%</t>
  </si>
  <si>
    <t xml:space="preserve">≥ 97%</t>
  </si>
  <si>
    <t xml:space="preserve">Wastewater and fecal sludge treatment (%)</t>
  </si>
  <si>
    <t xml:space="preserve">Treated / collected</t>
  </si>
  <si>
    <t xml:space="preserve">Inclusive</t>
  </si>
  <si>
    <t xml:space="preserve">Drinking Water Coverage (%)</t>
  </si>
  <si>
    <t xml:space="preserve">Population served / population</t>
  </si>
  <si>
    <t xml:space="preserve">75% – 85%</t>
  </si>
  <si>
    <t xml:space="preserve">≥ 95%</t>
  </si>
  <si>
    <t xml:space="preserve">Sanitation Coverage (%)</t>
  </si>
  <si>
    <t xml:space="preserve">Population with sanitation / population</t>
  </si>
  <si>
    <t xml:space="preserve">&lt; 10%</t>
  </si>
  <si>
    <t xml:space="preserve">10% – 20%</t>
  </si>
  <si>
    <t xml:space="preserve">20% – 50%</t>
  </si>
  <si>
    <t xml:space="preserve">50% – 80%</t>
  </si>
  <si>
    <t xml:space="preserve">≥ 80%</t>
  </si>
  <si>
    <t xml:space="preserve">Responsive</t>
  </si>
  <si>
    <t xml:space="preserve">Percent Customers Satisfied with Service (past 2 years)</t>
  </si>
  <si>
    <t xml:space="preserve">Satisfaction survey</t>
  </si>
  <si>
    <t xml:space="preserve">&lt; 20%</t>
  </si>
  <si>
    <t xml:space="preserve">20% – 40%</t>
  </si>
  <si>
    <t xml:space="preserve">40% – 55%</t>
  </si>
  <si>
    <t xml:space="preserve">55% – 70%</t>
  </si>
  <si>
    <t xml:space="preserve">≥ 70%</t>
  </si>
  <si>
    <t xml:space="preserve">Percent of grievances satisfactorily resolved within 7 days</t>
  </si>
  <si>
    <t xml:space="preserve">Resolved in 7 days / received</t>
  </si>
  <si>
    <t xml:space="preserve">10% – 25%</t>
  </si>
  <si>
    <t xml:space="preserve">25% – 50%</t>
  </si>
  <si>
    <t xml:space="preserve">50% – 70%</t>
  </si>
  <si>
    <t xml:space="preserve">Percentage of sewer blockage complaints addressed within 48 hours</t>
  </si>
  <si>
    <t xml:space="preserve">Addressed in 48 h / received</t>
  </si>
  <si>
    <t xml:space="preserve">Commercial Management</t>
  </si>
  <si>
    <t xml:space="preserve">Collection rate (%)</t>
  </si>
  <si>
    <t xml:space="preserve">Collections / billings</t>
  </si>
  <si>
    <t xml:space="preserve">&lt; 60%</t>
  </si>
  <si>
    <t xml:space="preserve">60% – 70%</t>
  </si>
  <si>
    <t xml:space="preserve">70% – 90%</t>
  </si>
  <si>
    <t xml:space="preserve">90% – 95%</t>
  </si>
  <si>
    <t xml:space="preserve">Metered water connections (%)</t>
  </si>
  <si>
    <t xml:space="preserve">Metered connections / total</t>
  </si>
  <si>
    <t xml:space="preserve">&lt; 25%</t>
  </si>
  <si>
    <t xml:space="preserve">60% – 85%</t>
  </si>
  <si>
    <t xml:space="preserve">Service Complaints Resolved</t>
  </si>
  <si>
    <t xml:space="preserve">Resolved / received</t>
  </si>
  <si>
    <t xml:space="preserve">60% – 80%</t>
  </si>
  <si>
    <t xml:space="preserve">80% – 90%</t>
  </si>
  <si>
    <t xml:space="preserve">Technical Operations</t>
  </si>
  <si>
    <t xml:space="preserve">NRW (Liters/Connection/Hour)</t>
  </si>
  <si>
    <t xml:space="preserve">l/conn/h</t>
  </si>
  <si>
    <t xml:space="preserve">NRW volume × 1000 / 365 / connections / hours of supply</t>
  </si>
  <si>
    <t xml:space="preserve">&gt; 50</t>
  </si>
  <si>
    <t xml:space="preserve">25 – 50</t>
  </si>
  <si>
    <t xml:space="preserve">12 – 25</t>
  </si>
  <si>
    <t xml:space="preserve">6 – 12</t>
  </si>
  <si>
    <t xml:space="preserve">≤ 6</t>
  </si>
  <si>
    <t xml:space="preserve">&lt;</t>
  </si>
  <si>
    <t xml:space="preserve">Non-Revenue Water (%)</t>
  </si>
  <si>
    <t xml:space="preserve">(Produced − billed) / produced</t>
  </si>
  <si>
    <t xml:space="preserve">&gt; 30%</t>
  </si>
  <si>
    <t xml:space="preserve">20% – 30%</t>
  </si>
  <si>
    <t xml:space="preserve">5% – 10%</t>
  </si>
  <si>
    <t xml:space="preserve">≤ 5%</t>
  </si>
  <si>
    <t xml:space="preserve">Sewer Blockages (blockages/100km)</t>
  </si>
  <si>
    <t xml:space="preserve">per 100 km</t>
  </si>
  <si>
    <t xml:space="preserve">Blockages / km × 100</t>
  </si>
  <si>
    <t xml:space="preserve">&gt; 30</t>
  </si>
  <si>
    <t xml:space="preserve">20 – 30</t>
  </si>
  <si>
    <t xml:space="preserve">10 – 20</t>
  </si>
  <si>
    <t xml:space="preserve">5 – 10</t>
  </si>
  <si>
    <t xml:space="preserve">≤ 5</t>
  </si>
  <si>
    <t xml:space="preserve">Financial Management</t>
  </si>
  <si>
    <t xml:space="preserve">EBITDA Margin</t>
  </si>
  <si>
    <t xml:space="preserve">(Revenue − OPEX) / revenue</t>
  </si>
  <si>
    <t xml:space="preserve">&lt; 0%</t>
  </si>
  <si>
    <t xml:space="preserve">0% – 5%</t>
  </si>
  <si>
    <t xml:space="preserve">5% – 19%</t>
  </si>
  <si>
    <t xml:space="preserve">19% – 30%</t>
  </si>
  <si>
    <t xml:space="preserve">≥ 30%</t>
  </si>
  <si>
    <t xml:space="preserve">Operation Cost Coverage (%)</t>
  </si>
  <si>
    <t xml:space="preserve">Revenue / OPEX</t>
  </si>
  <si>
    <t xml:space="preserve">90% – 100%</t>
  </si>
  <si>
    <t xml:space="preserve">Talent Management</t>
  </si>
  <si>
    <t xml:space="preserve">Employees per 1000 connections (water and/or wastewater)</t>
  </si>
  <si>
    <t xml:space="preserve">staff/1000 conn</t>
  </si>
  <si>
    <t xml:space="preserve">Employees / (water + sewer connections) × 1000</t>
  </si>
  <si>
    <t xml:space="preserve">&gt; 10</t>
  </si>
  <si>
    <t xml:space="preserve">6 – 10</t>
  </si>
  <si>
    <t xml:space="preserve">5 – 6</t>
  </si>
  <si>
    <t xml:space="preserve">3 – 5</t>
  </si>
  <si>
    <t xml:space="preserve">≤ 3</t>
  </si>
  <si>
    <t xml:space="preserve">Employee Turnover Rate</t>
  </si>
  <si>
    <t xml:space="preserve">Employees who left / employees</t>
  </si>
  <si>
    <t xml:space="preserve">&gt; 10%</t>
  </si>
  <si>
    <t xml:space="preserve">7% – 10%</t>
  </si>
  <si>
    <t xml:space="preserve">5% – 7%</t>
  </si>
  <si>
    <t xml:space="preserve">3% – 5%</t>
  </si>
  <si>
    <t xml:space="preserve">≤ 3%</t>
  </si>
  <si>
    <t xml:space="preserve">HR Costs as % of Total Operating Costs</t>
  </si>
  <si>
    <t xml:space="preserve">Labor costs / OPEX</t>
  </si>
  <si>
    <t xml:space="preserve">Informative (no reference ranges)</t>
  </si>
  <si>
    <t xml:space="preserve">Notes</t>
  </si>
  <si>
    <t xml:space="preserve">• Operational indicators use 2024 utility records; financial indicators use 2023 (the last year with both revenue and OPEX).</t>
  </si>
  <si>
    <t xml:space="preserve">• Revenue = water collections; billings are not reported, so the collection rate cannot be calculated.</t>
  </si>
  <si>
    <t xml:space="preserve">• NRW 2024 = 39.9%. H1 2025 shows 31.3%, but 2025 production readings appear partly estimated.</t>
  </si>
  <si>
    <t xml:space="preserve">• Water coverage uses the whole-city population; TCWS serves 10 of 15 barangays.</t>
  </si>
  <si>
    <t xml:space="preserve">• Employees per 1,000 connections uses 9 permanent staff; with 15 job-order staff (24 total) the value is 3.71 (Level 4).</t>
  </si>
  <si>
    <t xml:space="preserve">Tagbilaran City Waterworks System (TCWS) – Key variables, base year 2024</t>
  </si>
  <si>
    <t xml:space="preserve">Blue values = inputs; empty = no data. Financial variables use 2023 so revenue and OPEX refer to the same year.</t>
  </si>
  <si>
    <t xml:space="preserve">Variable</t>
  </si>
  <si>
    <t xml:space="preserve">Year</t>
  </si>
  <si>
    <t xml:space="preserve">Origin</t>
  </si>
  <si>
    <t xml:space="preserve">Source / note</t>
  </si>
  <si>
    <t xml:space="preserve">Scope of service</t>
  </si>
  <si>
    <t xml:space="preserve">Number of people in service area (last census)</t>
  </si>
  <si>
    <t xml:space="preserve">people</t>
  </si>
  <si>
    <t xml:space="preserve">Business Plan</t>
  </si>
  <si>
    <t xml:space="preserve">PSA 2024 census, whole city (BP Table 1 uses projected 112,348).</t>
  </si>
  <si>
    <t xml:space="preserve">Average number of persons per family</t>
  </si>
  <si>
    <t xml:space="preserve">Average people served per public standpipe</t>
  </si>
  <si>
    <t xml:space="preserve">No data</t>
  </si>
  <si>
    <t xml:space="preserve">No public standpipes reported.</t>
  </si>
  <si>
    <t xml:space="preserve">Water service</t>
  </si>
  <si>
    <t xml:space="preserve">Total water service connections</t>
  </si>
  <si>
    <t xml:space="preserve">No.</t>
  </si>
  <si>
    <t xml:space="preserve">Utility records</t>
  </si>
  <si>
    <t xml:space="preserve">Total accounts as of Dec 2024 (6,314 in Dec 2025).</t>
  </si>
  <si>
    <t xml:space="preserve">Connections with installed water meter</t>
  </si>
  <si>
    <t xml:space="preserve">All accounts are billed on consumption, but the metered count is not reported; meters are customer-supplied.</t>
  </si>
  <si>
    <t xml:space="preserve">Connections with Smart Meters</t>
  </si>
  <si>
    <t xml:space="preserve">Active domestic connections</t>
  </si>
  <si>
    <t xml:space="preserve">Residential accounts, Dec 2024.</t>
  </si>
  <si>
    <t xml:space="preserve">Public water sources / standpipes</t>
  </si>
  <si>
    <t xml:space="preserve">Annual produced water volume</t>
  </si>
  <si>
    <t xml:space="preserve">m3</t>
  </si>
  <si>
    <t xml:space="preserve">Pumping stations production 2024 (some units report zero in Sep–Dec).</t>
  </si>
  <si>
    <t xml:space="preserve">Annual water sales (billed) volume</t>
  </si>
  <si>
    <t xml:space="preserve">Consumption summary 2024.</t>
  </si>
  <si>
    <t xml:space="preserve">Sales volume to domestic customers</t>
  </si>
  <si>
    <t xml:space="preserve">Estimated</t>
  </si>
  <si>
    <t xml:space="preserve">Total billed minus City Gov't/DepEd accounts (74,298 m3); commercial not separated.</t>
  </si>
  <si>
    <t xml:space="preserve">Calculated</t>
  </si>
  <si>
    <t xml:space="preserve">All barangays 24 h except Cabawan and San Isidro (22 h): 428 of 6,461 accounts.</t>
  </si>
  <si>
    <t xml:space="preserve">hours</t>
  </si>
  <si>
    <t xml:space="preserve">Connection-weighted average of barangay availability.</t>
  </si>
  <si>
    <t xml:space="preserve">Drinking water quality (% of compliant samples)</t>
  </si>
  <si>
    <t xml:space="preserve">SWOT: 10% failure in sampling (PNSDW). Tested monthly (questionnaire).</t>
  </si>
  <si>
    <t xml:space="preserve">Wastewater and fecal sludge</t>
  </si>
  <si>
    <t xml:space="preserve">Domestic properties with sewer connection</t>
  </si>
  <si>
    <t xml:space="preserve">TCWS does not provide sanitation services.</t>
  </si>
  <si>
    <t xml:space="preserve">Properties with septic tank</t>
  </si>
  <si>
    <t xml:space="preserve">Wastewater and fecal sludge collected</t>
  </si>
  <si>
    <t xml:space="preserve">Wastewater and fecal sludge treated</t>
  </si>
  <si>
    <t xml:space="preserve">Fecal sludge emptying within 24 h</t>
  </si>
  <si>
    <t xml:space="preserve">Sewer blockage complaints addressed within 48 h</t>
  </si>
  <si>
    <t xml:space="preserve">Length of sewer network</t>
  </si>
  <si>
    <t xml:space="preserve">km</t>
  </si>
  <si>
    <t xml:space="preserve">Number of blockages</t>
  </si>
  <si>
    <t xml:space="preserve">Customer service</t>
  </si>
  <si>
    <t xml:space="preserve">Grievances resolved within 7 days</t>
  </si>
  <si>
    <t xml:space="preserve">Customers satisfied with service</t>
  </si>
  <si>
    <t xml:space="preserve">Service complaints resolved (resolved/received)</t>
  </si>
  <si>
    <t xml:space="preserve">Financial data (PhP)</t>
  </si>
  <si>
    <t xml:space="preserve">Total annual revenues</t>
  </si>
  <si>
    <t xml:space="preserve">PhP</t>
  </si>
  <si>
    <t xml:space="preserve">2023 water collections (no separate billing data). 2024: 22,887,685.65.</t>
  </si>
  <si>
    <t xml:space="preserve">Annual payments received from customers (collection)</t>
  </si>
  <si>
    <t xml:space="preserve">Summary of water collections.</t>
  </si>
  <si>
    <t xml:space="preserve">Annual billings</t>
  </si>
  <si>
    <t xml:space="preserve">Not provided; needed for collection efficiency.</t>
  </si>
  <si>
    <t xml:space="preserve">Payments received through electronic channels</t>
  </si>
  <si>
    <t xml:space="preserve">Online payment partners exist; amounts not reported.</t>
  </si>
  <si>
    <t xml:space="preserve">Operating annual expenses</t>
  </si>
  <si>
    <t xml:space="preserve">Calculated OPEX 2023 (Table 16).</t>
  </si>
  <si>
    <t xml:space="preserve">Annual electricity costs</t>
  </si>
  <si>
    <t xml:space="preserve">Annual labor costs</t>
  </si>
  <si>
    <t xml:space="preserve">Annual other costs</t>
  </si>
  <si>
    <t xml:space="preserve">Total supplier invoices</t>
  </si>
  <si>
    <t xml:space="preserve">Total electronic supplier invoices</t>
  </si>
  <si>
    <t xml:space="preserve">Human resources</t>
  </si>
  <si>
    <t xml:space="preserve">Total full-time employees</t>
  </si>
  <si>
    <t xml:space="preserve">Permanent staff; plus 15 job-order (24 total).</t>
  </si>
  <si>
    <t xml:space="preserve">Full-time female employees</t>
  </si>
  <si>
    <t xml:space="preserve">6 including job-order.</t>
  </si>
  <si>
    <t xml:space="preserve">Employees who left during the period</t>
  </si>
  <si>
    <t xml:space="preserve">Intermediate variables</t>
  </si>
  <si>
    <t xml:space="preserve">Population served with water</t>
  </si>
  <si>
    <t xml:space="preserve">Persons per family × domestic connections.</t>
  </si>
  <si>
    <t xml:space="preserve">Population served with sanitation</t>
  </si>
  <si>
    <t xml:space="preserve">Non-revenue water volume</t>
  </si>
  <si>
    <t xml:space="preserve">Produced − billed.</t>
  </si>
  <si>
    <t xml:space="preserve">EBITDA</t>
  </si>
  <si>
    <t xml:space="preserve">Revenue − OPEX.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</si>
</sst>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0.0%"/>
    <numFmt numFmtId="168" formatCode="0.00"/>
    <numFmt numFmtId="169" formatCode="#,##0"/>
    <numFmt numFmtId="170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</font>
      <fill>
        <patternFill>
          <bgColor rgb="FFFFD966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63BE7B"/>
        </patternFill>
      </fill>
    </dxf>
    <dxf>
      <font>
        <name val="Arial"/>
        <charset val="1"/>
        <family val="0"/>
        <i val="1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63BE7B"/>
      <rgbColor rgb="FF99CC00"/>
      <rgbColor rgb="FFFFD966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10" min="6" style="0" width="15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10"/>
    <col collapsed="false" customWidth="true" hidden="false" outlineLevel="0" max="17" min="1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</row>
    <row r="5" customFormat="false" ht="31.5" hidden="false" customHeight="true" outlineLevel="0" collapsed="false">
      <c r="A5" s="4" t="s">
        <v>18</v>
      </c>
      <c r="B5" s="5" t="s">
        <v>19</v>
      </c>
      <c r="C5" s="6" t="s">
        <v>20</v>
      </c>
      <c r="D5" s="6" t="s">
        <v>21</v>
      </c>
      <c r="E5" s="7" t="n">
        <f aca="false">IFERROR(IF(OR(ISBLANK(Variables!$C$19)),"No data",Variables!$C$19),"No data")</f>
        <v>23.87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8" t="n">
        <f aca="false">IF(E5="No data","No data",IF(E5&gt;=Q5,5,IF(E5&gt;=P5,4,IF(E5&gt;=O5,3,IF(E5&gt;=N5,2,1)))))</f>
        <v>4</v>
      </c>
      <c r="M5" s="2" t="s">
        <v>27</v>
      </c>
      <c r="N5" s="9" t="n">
        <v>8</v>
      </c>
      <c r="O5" s="9" t="n">
        <v>15</v>
      </c>
      <c r="P5" s="9" t="n">
        <v>20</v>
      </c>
      <c r="Q5" s="9" t="n">
        <v>24</v>
      </c>
    </row>
    <row r="6" customFormat="false" ht="31.5" hidden="false" customHeight="true" outlineLevel="0" collapsed="false">
      <c r="A6" s="4" t="s">
        <v>18</v>
      </c>
      <c r="B6" s="5" t="s">
        <v>28</v>
      </c>
      <c r="C6" s="6" t="s">
        <v>29</v>
      </c>
      <c r="D6" s="6" t="s">
        <v>30</v>
      </c>
      <c r="E6" s="10" t="n">
        <f aca="false">IFERROR(IF(OR(ISBLANK(Variables!$C$18)),"No data",Variables!$C$18),"No data")</f>
        <v>0.934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8" t="n">
        <f aca="false">IF(E6="No data","No data",IF(E6&gt;=Q6,5,IF(E6&gt;=P6,4,IF(E6&gt;=O6,3,IF(E6&gt;=N6,2,1)))))</f>
        <v>4</v>
      </c>
      <c r="M6" s="2" t="s">
        <v>27</v>
      </c>
      <c r="N6" s="11" t="n">
        <v>0.05</v>
      </c>
      <c r="O6" s="11" t="n">
        <v>0.25</v>
      </c>
      <c r="P6" s="11" t="n">
        <v>0.6</v>
      </c>
      <c r="Q6" s="11" t="n">
        <v>1</v>
      </c>
    </row>
    <row r="7" customFormat="false" ht="31.5" hidden="false" customHeight="true" outlineLevel="0" collapsed="false">
      <c r="A7" s="4" t="s">
        <v>18</v>
      </c>
      <c r="B7" s="5" t="s">
        <v>36</v>
      </c>
      <c r="C7" s="6" t="s">
        <v>37</v>
      </c>
      <c r="D7" s="6" t="s">
        <v>38</v>
      </c>
      <c r="E7" s="7" t="n">
        <f aca="false">IFERROR(IF(OR(ISBLANK(Variables!$C$17),Variables!$C$50=""),"No data",Variables!$C$17*1000/365/Variables!$C$50),"No data")</f>
        <v>167.500174396416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43</v>
      </c>
      <c r="K7" s="8" t="n">
        <f aca="false">IF(E7="No data","No data",IF(E7&gt;=Q7,5,IF(E7&gt;=P7,4,IF(E7&gt;=O7,3,IF(E7&gt;=N7,2,1)))))</f>
        <v>4</v>
      </c>
      <c r="M7" s="2" t="s">
        <v>27</v>
      </c>
      <c r="N7" s="9" t="n">
        <v>30</v>
      </c>
      <c r="O7" s="9" t="n">
        <v>50</v>
      </c>
      <c r="P7" s="9" t="n">
        <v>120</v>
      </c>
      <c r="Q7" s="9" t="n">
        <v>240</v>
      </c>
    </row>
    <row r="8" customFormat="false" ht="31.5" hidden="false" customHeight="true" outlineLevel="0" collapsed="false">
      <c r="A8" s="4" t="s">
        <v>18</v>
      </c>
      <c r="B8" s="5" t="s">
        <v>44</v>
      </c>
      <c r="C8" s="6" t="s">
        <v>29</v>
      </c>
      <c r="D8" s="6" t="s">
        <v>45</v>
      </c>
      <c r="E8" s="10" t="str">
        <f aca="false">IFERROR(IF(OR(ISBLANK(Variables!$C$26)),"No data",Variables!$C$26),"No data")</f>
        <v>No data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  <c r="K8" s="8" t="str">
        <f aca="false">IF(E8="No data","No data",IF(E8&gt;=Q8,5,IF(E8&gt;=P8,4,IF(E8&gt;=O8,3,IF(E8&gt;=N8,2,1)))))</f>
        <v>No data</v>
      </c>
      <c r="M8" s="2" t="s">
        <v>27</v>
      </c>
      <c r="N8" s="11" t="n">
        <v>0.3</v>
      </c>
      <c r="O8" s="11" t="n">
        <v>0.5</v>
      </c>
      <c r="P8" s="11" t="n">
        <v>0.75</v>
      </c>
      <c r="Q8" s="11" t="n">
        <v>0.9</v>
      </c>
    </row>
    <row r="9" customFormat="false" ht="31.5" hidden="false" customHeight="true" outlineLevel="0" collapsed="false">
      <c r="A9" s="4" t="s">
        <v>51</v>
      </c>
      <c r="B9" s="5" t="s">
        <v>52</v>
      </c>
      <c r="C9" s="6" t="s">
        <v>29</v>
      </c>
      <c r="D9" s="6" t="s">
        <v>53</v>
      </c>
      <c r="E9" s="10" t="n">
        <f aca="false">IFERROR(IF(OR(ISBLANK(Variables!$C$20)),"No data",Variables!$C$20),"No data")</f>
        <v>0.9</v>
      </c>
      <c r="F9" s="6" t="s">
        <v>54</v>
      </c>
      <c r="G9" s="6" t="s">
        <v>55</v>
      </c>
      <c r="H9" s="6" t="s">
        <v>56</v>
      </c>
      <c r="I9" s="6" t="s">
        <v>57</v>
      </c>
      <c r="J9" s="6" t="s">
        <v>58</v>
      </c>
      <c r="K9" s="8" t="n">
        <f aca="false">IF(E9="No data","No data",IF(E9&gt;=Q9,5,IF(E9&gt;=P9,4,IF(E9&gt;=O9,3,IF(E9&gt;=N9,2,1)))))</f>
        <v>3</v>
      </c>
      <c r="M9" s="2" t="s">
        <v>27</v>
      </c>
      <c r="N9" s="11" t="n">
        <v>0.5</v>
      </c>
      <c r="O9" s="11" t="n">
        <v>0.85</v>
      </c>
      <c r="P9" s="11" t="n">
        <v>0.95</v>
      </c>
      <c r="Q9" s="11" t="n">
        <v>0.97</v>
      </c>
    </row>
    <row r="10" customFormat="false" ht="31.5" hidden="false" customHeight="true" outlineLevel="0" collapsed="false">
      <c r="A10" s="4" t="s">
        <v>51</v>
      </c>
      <c r="B10" s="5" t="s">
        <v>59</v>
      </c>
      <c r="C10" s="6" t="s">
        <v>29</v>
      </c>
      <c r="D10" s="6" t="s">
        <v>60</v>
      </c>
      <c r="E10" s="10" t="str">
        <f aca="false">IFERROR(IF(OR(ISBLANK(Variables!$C$25),ISBLANK(Variables!$C$24)),"No data",Variables!$C$25/Variables!$C$24),"No data")</f>
        <v>No data</v>
      </c>
      <c r="F10" s="6" t="s">
        <v>46</v>
      </c>
      <c r="G10" s="6" t="s">
        <v>47</v>
      </c>
      <c r="H10" s="6" t="s">
        <v>48</v>
      </c>
      <c r="I10" s="6" t="s">
        <v>49</v>
      </c>
      <c r="J10" s="6" t="s">
        <v>50</v>
      </c>
      <c r="K10" s="8" t="str">
        <f aca="false">IF(E10="No data","No data",IF(E10&gt;=Q10,5,IF(E10&gt;=P10,4,IF(E10&gt;=O10,3,IF(E10&gt;=N10,2,1)))))</f>
        <v>No data</v>
      </c>
      <c r="M10" s="2" t="s">
        <v>27</v>
      </c>
      <c r="N10" s="11" t="n">
        <v>0.3</v>
      </c>
      <c r="O10" s="11" t="n">
        <v>0.5</v>
      </c>
      <c r="P10" s="11" t="n">
        <v>0.75</v>
      </c>
      <c r="Q10" s="11" t="n">
        <v>0.9</v>
      </c>
    </row>
    <row r="11" customFormat="false" ht="31.5" hidden="false" customHeight="true" outlineLevel="0" collapsed="false">
      <c r="A11" s="4" t="s">
        <v>61</v>
      </c>
      <c r="B11" s="5" t="s">
        <v>62</v>
      </c>
      <c r="C11" s="6" t="s">
        <v>29</v>
      </c>
      <c r="D11" s="6" t="s">
        <v>63</v>
      </c>
      <c r="E11" s="10" t="n">
        <f aca="false">IFERROR(IF(OR(Variables!$C$50="",ISBLANK(Variables!$C$6)),"No data",Variables!$C$50/Variables!$C$6),"No data")</f>
        <v>0.27109404447795</v>
      </c>
      <c r="F11" s="6" t="s">
        <v>54</v>
      </c>
      <c r="G11" s="6" t="s">
        <v>48</v>
      </c>
      <c r="H11" s="6" t="s">
        <v>64</v>
      </c>
      <c r="I11" s="6" t="s">
        <v>56</v>
      </c>
      <c r="J11" s="6" t="s">
        <v>65</v>
      </c>
      <c r="K11" s="8" t="n">
        <f aca="false">IF(E11="No data","No data",IF(E11&gt;=Q11,5,IF(E11&gt;=P11,4,IF(E11&gt;=O11,3,IF(E11&gt;=N11,2,1)))))</f>
        <v>1</v>
      </c>
      <c r="M11" s="2" t="s">
        <v>27</v>
      </c>
      <c r="N11" s="11" t="n">
        <v>0.5</v>
      </c>
      <c r="O11" s="11" t="n">
        <v>0.75</v>
      </c>
      <c r="P11" s="11" t="n">
        <v>0.85</v>
      </c>
      <c r="Q11" s="11" t="n">
        <v>0.95</v>
      </c>
    </row>
    <row r="12" customFormat="false" ht="31.5" hidden="false" customHeight="true" outlineLevel="0" collapsed="false">
      <c r="A12" s="4" t="s">
        <v>61</v>
      </c>
      <c r="B12" s="5" t="s">
        <v>66</v>
      </c>
      <c r="C12" s="6" t="s">
        <v>29</v>
      </c>
      <c r="D12" s="6" t="s">
        <v>67</v>
      </c>
      <c r="E12" s="10" t="str">
        <f aca="false">IFERROR(IF(OR(Variables!$C$51="",ISBLANK(Variables!$C$6)),"No data",Variables!$C$51/Variables!$C$6),"No data")</f>
        <v>No data</v>
      </c>
      <c r="F12" s="6" t="s">
        <v>68</v>
      </c>
      <c r="G12" s="6" t="s">
        <v>69</v>
      </c>
      <c r="H12" s="6" t="s">
        <v>70</v>
      </c>
      <c r="I12" s="6" t="s">
        <v>71</v>
      </c>
      <c r="J12" s="6" t="s">
        <v>72</v>
      </c>
      <c r="K12" s="8" t="str">
        <f aca="false">IF(E12="No data","No data",IF(E12&gt;=Q12,5,IF(E12&gt;=P12,4,IF(E12&gt;=O12,3,IF(E12&gt;=N12,2,1)))))</f>
        <v>No data</v>
      </c>
      <c r="M12" s="2" t="s">
        <v>27</v>
      </c>
      <c r="N12" s="11" t="n">
        <v>0.1</v>
      </c>
      <c r="O12" s="11" t="n">
        <v>0.2</v>
      </c>
      <c r="P12" s="11" t="n">
        <v>0.5</v>
      </c>
      <c r="Q12" s="11" t="n">
        <v>0.8</v>
      </c>
    </row>
    <row r="13" customFormat="false" ht="31.5" hidden="false" customHeight="true" outlineLevel="0" collapsed="false">
      <c r="A13" s="4" t="s">
        <v>73</v>
      </c>
      <c r="B13" s="5" t="s">
        <v>74</v>
      </c>
      <c r="C13" s="6" t="s">
        <v>29</v>
      </c>
      <c r="D13" s="6" t="s">
        <v>75</v>
      </c>
      <c r="E13" s="10" t="str">
        <f aca="false">IFERROR(IF(OR(ISBLANK(Variables!$C$32)),"No data",Variables!$C$32),"No data")</f>
        <v>No data</v>
      </c>
      <c r="F13" s="6" t="s">
        <v>76</v>
      </c>
      <c r="G13" s="6" t="s">
        <v>77</v>
      </c>
      <c r="H13" s="6" t="s">
        <v>78</v>
      </c>
      <c r="I13" s="6" t="s">
        <v>79</v>
      </c>
      <c r="J13" s="6" t="s">
        <v>80</v>
      </c>
      <c r="K13" s="8" t="str">
        <f aca="false">IF(E13="No data","No data",IF(E13&gt;=Q13,5,IF(E13&gt;=P13,4,IF(E13&gt;=O13,3,IF(E13&gt;=N13,2,1)))))</f>
        <v>No data</v>
      </c>
      <c r="M13" s="2" t="s">
        <v>27</v>
      </c>
      <c r="N13" s="11" t="n">
        <v>0.2</v>
      </c>
      <c r="O13" s="11" t="n">
        <v>0.4</v>
      </c>
      <c r="P13" s="11" t="n">
        <v>0.55</v>
      </c>
      <c r="Q13" s="11" t="n">
        <v>0.7</v>
      </c>
    </row>
    <row r="14" customFormat="false" ht="31.5" hidden="false" customHeight="true" outlineLevel="0" collapsed="false">
      <c r="A14" s="4" t="s">
        <v>73</v>
      </c>
      <c r="B14" s="5" t="s">
        <v>81</v>
      </c>
      <c r="C14" s="6" t="s">
        <v>29</v>
      </c>
      <c r="D14" s="6" t="s">
        <v>82</v>
      </c>
      <c r="E14" s="10" t="str">
        <f aca="false">IFERROR(IF(OR(ISBLANK(Variables!$C$31)),"No data",Variables!$C$31),"No data")</f>
        <v>No data</v>
      </c>
      <c r="F14" s="6" t="s">
        <v>68</v>
      </c>
      <c r="G14" s="6" t="s">
        <v>83</v>
      </c>
      <c r="H14" s="6" t="s">
        <v>84</v>
      </c>
      <c r="I14" s="6" t="s">
        <v>85</v>
      </c>
      <c r="J14" s="6" t="s">
        <v>80</v>
      </c>
      <c r="K14" s="8" t="str">
        <f aca="false">IF(E14="No data","No data",IF(E14&gt;=Q14,5,IF(E14&gt;=P14,4,IF(E14&gt;=O14,3,IF(E14&gt;=N14,2,1)))))</f>
        <v>No data</v>
      </c>
      <c r="M14" s="2" t="s">
        <v>27</v>
      </c>
      <c r="N14" s="11" t="n">
        <v>0.1</v>
      </c>
      <c r="O14" s="11" t="n">
        <v>0.25</v>
      </c>
      <c r="P14" s="11" t="n">
        <v>0.5</v>
      </c>
      <c r="Q14" s="11" t="n">
        <v>0.7</v>
      </c>
    </row>
    <row r="15" customFormat="false" ht="31.5" hidden="false" customHeight="true" outlineLevel="0" collapsed="false">
      <c r="A15" s="4" t="s">
        <v>73</v>
      </c>
      <c r="B15" s="5" t="s">
        <v>86</v>
      </c>
      <c r="C15" s="6" t="s">
        <v>29</v>
      </c>
      <c r="D15" s="6" t="s">
        <v>87</v>
      </c>
      <c r="E15" s="10" t="str">
        <f aca="false">IFERROR(IF(OR(ISBLANK(Variables!$C$27)),"No data",Variables!$C$27),"No data")</f>
        <v>No data</v>
      </c>
      <c r="F15" s="6" t="s">
        <v>46</v>
      </c>
      <c r="G15" s="6" t="s">
        <v>47</v>
      </c>
      <c r="H15" s="6" t="s">
        <v>48</v>
      </c>
      <c r="I15" s="6" t="s">
        <v>49</v>
      </c>
      <c r="J15" s="6" t="s">
        <v>50</v>
      </c>
      <c r="K15" s="8" t="str">
        <f aca="false">IF(E15="No data","No data",IF(E15&gt;=Q15,5,IF(E15&gt;=P15,4,IF(E15&gt;=O15,3,IF(E15&gt;=N15,2,1)))))</f>
        <v>No data</v>
      </c>
      <c r="M15" s="2" t="s">
        <v>27</v>
      </c>
      <c r="N15" s="11" t="n">
        <v>0.3</v>
      </c>
      <c r="O15" s="11" t="n">
        <v>0.5</v>
      </c>
      <c r="P15" s="11" t="n">
        <v>0.75</v>
      </c>
      <c r="Q15" s="11" t="n">
        <v>0.9</v>
      </c>
    </row>
    <row r="16" customFormat="false" ht="31.5" hidden="false" customHeight="true" outlineLevel="0" collapsed="false">
      <c r="A16" s="4" t="s">
        <v>88</v>
      </c>
      <c r="B16" s="5" t="s">
        <v>89</v>
      </c>
      <c r="C16" s="6" t="s">
        <v>29</v>
      </c>
      <c r="D16" s="6" t="s">
        <v>90</v>
      </c>
      <c r="E16" s="10" t="str">
        <f aca="false">IFERROR(IF(OR(ISBLANK(Variables!$C$36),ISBLANK(Variables!$C$37)),"No data",Variables!$C$36/Variables!$C$37),"No data")</f>
        <v>No data</v>
      </c>
      <c r="F16" s="6" t="s">
        <v>91</v>
      </c>
      <c r="G16" s="6" t="s">
        <v>92</v>
      </c>
      <c r="H16" s="6" t="s">
        <v>93</v>
      </c>
      <c r="I16" s="6" t="s">
        <v>94</v>
      </c>
      <c r="J16" s="6" t="s">
        <v>65</v>
      </c>
      <c r="K16" s="8" t="str">
        <f aca="false">IF(E16="No data","No data",IF(E16&gt;=Q16,5,IF(E16&gt;=P16,4,IF(E16&gt;=O16,3,IF(E16&gt;=N16,2,1)))))</f>
        <v>No data</v>
      </c>
      <c r="M16" s="2" t="s">
        <v>27</v>
      </c>
      <c r="N16" s="11" t="n">
        <v>0.6</v>
      </c>
      <c r="O16" s="11" t="n">
        <v>0.7</v>
      </c>
      <c r="P16" s="11" t="n">
        <v>0.9</v>
      </c>
      <c r="Q16" s="11" t="n">
        <v>0.95</v>
      </c>
    </row>
    <row r="17" customFormat="false" ht="31.5" hidden="false" customHeight="true" outlineLevel="0" collapsed="false">
      <c r="A17" s="4" t="s">
        <v>88</v>
      </c>
      <c r="B17" s="5" t="s">
        <v>95</v>
      </c>
      <c r="C17" s="6" t="s">
        <v>29</v>
      </c>
      <c r="D17" s="6" t="s">
        <v>96</v>
      </c>
      <c r="E17" s="10" t="str">
        <f aca="false">IFERROR(IF(OR(ISBLANK(Variables!$C$11),ISBLANK(Variables!$C$10)),"No data",Variables!$C$11/Variables!$C$10),"No data")</f>
        <v>No data</v>
      </c>
      <c r="F17" s="6" t="s">
        <v>97</v>
      </c>
      <c r="G17" s="6" t="s">
        <v>33</v>
      </c>
      <c r="H17" s="6" t="s">
        <v>98</v>
      </c>
      <c r="I17" s="6" t="s">
        <v>56</v>
      </c>
      <c r="J17" s="6" t="s">
        <v>65</v>
      </c>
      <c r="K17" s="8" t="str">
        <f aca="false">IF(E17="No data","No data",IF(E17&gt;=Q17,5,IF(E17&gt;=P17,4,IF(E17&gt;=O17,3,IF(E17&gt;=N17,2,1)))))</f>
        <v>No data</v>
      </c>
      <c r="M17" s="2" t="s">
        <v>27</v>
      </c>
      <c r="N17" s="11" t="n">
        <v>0.25</v>
      </c>
      <c r="O17" s="11" t="n">
        <v>0.6</v>
      </c>
      <c r="P17" s="11" t="n">
        <v>0.85</v>
      </c>
      <c r="Q17" s="11" t="n">
        <v>0.95</v>
      </c>
    </row>
    <row r="18" customFormat="false" ht="31.5" hidden="false" customHeight="true" outlineLevel="0" collapsed="false">
      <c r="A18" s="4" t="s">
        <v>88</v>
      </c>
      <c r="B18" s="5" t="s">
        <v>99</v>
      </c>
      <c r="C18" s="6" t="s">
        <v>29</v>
      </c>
      <c r="D18" s="6" t="s">
        <v>100</v>
      </c>
      <c r="E18" s="10" t="str">
        <f aca="false">IFERROR(IF(OR(ISBLANK(Variables!$C$33)),"No data",Variables!$C$33),"No data")</f>
        <v>No data</v>
      </c>
      <c r="F18" s="6" t="s">
        <v>91</v>
      </c>
      <c r="G18" s="6" t="s">
        <v>101</v>
      </c>
      <c r="H18" s="6" t="s">
        <v>102</v>
      </c>
      <c r="I18" s="6" t="s">
        <v>94</v>
      </c>
      <c r="J18" s="6" t="s">
        <v>65</v>
      </c>
      <c r="K18" s="8" t="str">
        <f aca="false">IF(E18="No data","No data",IF(E18&gt;=Q18,5,IF(E18&gt;=P18,4,IF(E18&gt;=O18,3,IF(E18&gt;=N18,2,1)))))</f>
        <v>No data</v>
      </c>
      <c r="M18" s="2" t="s">
        <v>27</v>
      </c>
      <c r="N18" s="11" t="n">
        <v>0.6</v>
      </c>
      <c r="O18" s="11" t="n">
        <v>0.8</v>
      </c>
      <c r="P18" s="11" t="n">
        <v>0.9</v>
      </c>
      <c r="Q18" s="11" t="n">
        <v>0.95</v>
      </c>
    </row>
    <row r="19" customFormat="false" ht="31.5" hidden="false" customHeight="true" outlineLevel="0" collapsed="false">
      <c r="A19" s="4" t="s">
        <v>103</v>
      </c>
      <c r="B19" s="5" t="s">
        <v>104</v>
      </c>
      <c r="C19" s="6" t="s">
        <v>105</v>
      </c>
      <c r="D19" s="6" t="s">
        <v>106</v>
      </c>
      <c r="E19" s="7" t="n">
        <f aca="false">IFERROR(IF(OR(Variables!$C$52="",ISBLANK(Variables!$C$10),ISBLANK(Variables!$C$19)),"No data",Variables!$C$52*1000/365/Variables!$C$10/Variables!$C$19),"No data")</f>
        <v>21.5998477951993</v>
      </c>
      <c r="F19" s="6" t="s">
        <v>107</v>
      </c>
      <c r="G19" s="6" t="s">
        <v>108</v>
      </c>
      <c r="H19" s="6" t="s">
        <v>109</v>
      </c>
      <c r="I19" s="6" t="s">
        <v>110</v>
      </c>
      <c r="J19" s="6" t="s">
        <v>111</v>
      </c>
      <c r="K19" s="8" t="n">
        <f aca="false">IF(E19="No data","No data",IF(E19&lt;=Q19,5,IF(E19&lt;=P19,4,IF(E19&lt;=O19,3,IF(E19&lt;=N19,2,1)))))</f>
        <v>3</v>
      </c>
      <c r="M19" s="2" t="s">
        <v>112</v>
      </c>
      <c r="N19" s="9" t="n">
        <v>50</v>
      </c>
      <c r="O19" s="9" t="n">
        <v>25</v>
      </c>
      <c r="P19" s="9" t="n">
        <v>12</v>
      </c>
      <c r="Q19" s="9" t="n">
        <v>6</v>
      </c>
    </row>
    <row r="20" customFormat="false" ht="31.5" hidden="false" customHeight="true" outlineLevel="0" collapsed="false">
      <c r="A20" s="4" t="s">
        <v>103</v>
      </c>
      <c r="B20" s="5" t="s">
        <v>113</v>
      </c>
      <c r="C20" s="6" t="s">
        <v>29</v>
      </c>
      <c r="D20" s="6" t="s">
        <v>114</v>
      </c>
      <c r="E20" s="10" t="n">
        <f aca="false">IFERROR(IF(OR(Variables!$C$52="",ISBLANK(Variables!$C$15)),"No data",Variables!$C$52/Variables!$C$15),"No data")</f>
        <v>0.398780857374875</v>
      </c>
      <c r="F20" s="6" t="s">
        <v>115</v>
      </c>
      <c r="G20" s="6" t="s">
        <v>116</v>
      </c>
      <c r="H20" s="6" t="s">
        <v>69</v>
      </c>
      <c r="I20" s="6" t="s">
        <v>117</v>
      </c>
      <c r="J20" s="6" t="s">
        <v>118</v>
      </c>
      <c r="K20" s="8" t="n">
        <f aca="false">IF(E20="No data","No data",IF(E20&lt;=Q20,5,IF(E20&lt;=P20,4,IF(E20&lt;=O20,3,IF(E20&lt;=N20,2,1)))))</f>
        <v>1</v>
      </c>
      <c r="M20" s="2" t="s">
        <v>112</v>
      </c>
      <c r="N20" s="11" t="n">
        <v>0.3</v>
      </c>
      <c r="O20" s="11" t="n">
        <v>0.2</v>
      </c>
      <c r="P20" s="11" t="n">
        <v>0.1</v>
      </c>
      <c r="Q20" s="11" t="n">
        <v>0.05</v>
      </c>
    </row>
    <row r="21" customFormat="false" ht="31.5" hidden="false" customHeight="true" outlineLevel="0" collapsed="false">
      <c r="A21" s="4" t="s">
        <v>103</v>
      </c>
      <c r="B21" s="5" t="s">
        <v>119</v>
      </c>
      <c r="C21" s="6" t="s">
        <v>120</v>
      </c>
      <c r="D21" s="6" t="s">
        <v>121</v>
      </c>
      <c r="E21" s="7" t="str">
        <f aca="false">IFERROR(IF(OR(ISBLANK(Variables!$C$29),ISBLANK(Variables!$C$28)),"No data",Variables!$C$29/Variables!$C$28*100),"No data")</f>
        <v>No data</v>
      </c>
      <c r="F21" s="6" t="s">
        <v>122</v>
      </c>
      <c r="G21" s="6" t="s">
        <v>123</v>
      </c>
      <c r="H21" s="6" t="s">
        <v>124</v>
      </c>
      <c r="I21" s="6" t="s">
        <v>125</v>
      </c>
      <c r="J21" s="6" t="s">
        <v>126</v>
      </c>
      <c r="K21" s="8" t="str">
        <f aca="false">IF(E21="No data","No data",IF(E21&lt;=Q21,5,IF(E21&lt;=P21,4,IF(E21&lt;=O21,3,IF(E21&lt;=N21,2,1)))))</f>
        <v>No data</v>
      </c>
      <c r="M21" s="2" t="s">
        <v>112</v>
      </c>
      <c r="N21" s="9" t="n">
        <v>30</v>
      </c>
      <c r="O21" s="9" t="n">
        <v>20</v>
      </c>
      <c r="P21" s="9" t="n">
        <v>10</v>
      </c>
      <c r="Q21" s="9" t="n">
        <v>5</v>
      </c>
    </row>
    <row r="22" customFormat="false" ht="31.5" hidden="false" customHeight="true" outlineLevel="0" collapsed="false">
      <c r="A22" s="4" t="s">
        <v>127</v>
      </c>
      <c r="B22" s="5" t="s">
        <v>128</v>
      </c>
      <c r="C22" s="6" t="s">
        <v>29</v>
      </c>
      <c r="D22" s="6" t="s">
        <v>129</v>
      </c>
      <c r="E22" s="10" t="n">
        <f aca="false">IFERROR(IF(OR(Variables!$C$53="",ISBLANK(Variables!$C$35)),"No data",Variables!$C$53/Variables!$C$35),"No data")</f>
        <v>-0.128020920345851</v>
      </c>
      <c r="F22" s="6" t="s">
        <v>130</v>
      </c>
      <c r="G22" s="6" t="s">
        <v>131</v>
      </c>
      <c r="H22" s="6" t="s">
        <v>132</v>
      </c>
      <c r="I22" s="6" t="s">
        <v>133</v>
      </c>
      <c r="J22" s="6" t="s">
        <v>134</v>
      </c>
      <c r="K22" s="8" t="n">
        <f aca="false">IF(E22="No data","No data",IF(E22&gt;=Q22,5,IF(E22&gt;=P22,4,IF(E22&gt;=O22,3,IF(E22&gt;=N22,2,1)))))</f>
        <v>1</v>
      </c>
      <c r="M22" s="2" t="s">
        <v>27</v>
      </c>
      <c r="N22" s="11" t="n">
        <v>0</v>
      </c>
      <c r="O22" s="11" t="n">
        <v>0.05</v>
      </c>
      <c r="P22" s="11" t="n">
        <v>0.19</v>
      </c>
      <c r="Q22" s="11" t="n">
        <v>0.3</v>
      </c>
    </row>
    <row r="23" customFormat="false" ht="31.5" hidden="false" customHeight="true" outlineLevel="0" collapsed="false">
      <c r="A23" s="4" t="s">
        <v>127</v>
      </c>
      <c r="B23" s="5" t="s">
        <v>135</v>
      </c>
      <c r="C23" s="6" t="s">
        <v>29</v>
      </c>
      <c r="D23" s="6" t="s">
        <v>136</v>
      </c>
      <c r="E23" s="10" t="n">
        <f aca="false">IFERROR(IF(OR(ISBLANK(Variables!$C$35),ISBLANK(Variables!$C$39)),"No data",Variables!$C$35/Variables!$C$39),"No data")</f>
        <v>0.886508381150769</v>
      </c>
      <c r="F23" s="6" t="s">
        <v>91</v>
      </c>
      <c r="G23" s="6" t="s">
        <v>101</v>
      </c>
      <c r="H23" s="6" t="s">
        <v>102</v>
      </c>
      <c r="I23" s="6" t="s">
        <v>137</v>
      </c>
      <c r="J23" s="6" t="s">
        <v>35</v>
      </c>
      <c r="K23" s="8" t="n">
        <f aca="false">IF(E23="No data","No data",IF(E23&gt;=Q23,5,IF(E23&gt;=P23,4,IF(E23&gt;=O23,3,IF(E23&gt;=N23,2,1)))))</f>
        <v>3</v>
      </c>
      <c r="M23" s="2" t="s">
        <v>27</v>
      </c>
      <c r="N23" s="11" t="n">
        <v>0.6</v>
      </c>
      <c r="O23" s="11" t="n">
        <v>0.8</v>
      </c>
      <c r="P23" s="11" t="n">
        <v>0.9</v>
      </c>
      <c r="Q23" s="11" t="n">
        <v>1</v>
      </c>
    </row>
    <row r="24" customFormat="false" ht="31.5" hidden="false" customHeight="true" outlineLevel="0" collapsed="false">
      <c r="A24" s="4" t="s">
        <v>138</v>
      </c>
      <c r="B24" s="5" t="s">
        <v>139</v>
      </c>
      <c r="C24" s="6" t="s">
        <v>140</v>
      </c>
      <c r="D24" s="6" t="s">
        <v>141</v>
      </c>
      <c r="E24" s="12" t="n">
        <f aca="false">IFERROR(IF(OR(ISBLANK(Variables!$C$46),ISBLANK(Variables!$C$10)),"No data",Variables!$C$46/(Variables!$C$10+N(Variables!$C$22))*1000),"No data")</f>
        <v>1.39297322395914</v>
      </c>
      <c r="F24" s="6" t="s">
        <v>142</v>
      </c>
      <c r="G24" s="6" t="s">
        <v>143</v>
      </c>
      <c r="H24" s="6" t="s">
        <v>144</v>
      </c>
      <c r="I24" s="6" t="s">
        <v>145</v>
      </c>
      <c r="J24" s="6" t="s">
        <v>146</v>
      </c>
      <c r="K24" s="8" t="n">
        <f aca="false">IF(E24="No data","No data",IF(E24&lt;=Q24,5,IF(E24&lt;=P24,4,IF(E24&lt;=O24,3,IF(E24&lt;=N24,2,1)))))</f>
        <v>5</v>
      </c>
      <c r="M24" s="2" t="s">
        <v>112</v>
      </c>
      <c r="N24" s="13" t="n">
        <v>10</v>
      </c>
      <c r="O24" s="13" t="n">
        <v>6</v>
      </c>
      <c r="P24" s="13" t="n">
        <v>5</v>
      </c>
      <c r="Q24" s="13" t="n">
        <v>3</v>
      </c>
    </row>
    <row r="25" customFormat="false" ht="31.5" hidden="false" customHeight="true" outlineLevel="0" collapsed="false">
      <c r="A25" s="4" t="s">
        <v>138</v>
      </c>
      <c r="B25" s="5" t="s">
        <v>147</v>
      </c>
      <c r="C25" s="6" t="s">
        <v>29</v>
      </c>
      <c r="D25" s="6" t="s">
        <v>148</v>
      </c>
      <c r="E25" s="10" t="str">
        <f aca="false">IFERROR(IF(OR(ISBLANK(Variables!$C$48),ISBLANK(Variables!$C$46)),"No data",Variables!$C$48/Variables!$C$46),"No data")</f>
        <v>No data</v>
      </c>
      <c r="F25" s="6" t="s">
        <v>149</v>
      </c>
      <c r="G25" s="6" t="s">
        <v>150</v>
      </c>
      <c r="H25" s="6" t="s">
        <v>151</v>
      </c>
      <c r="I25" s="6" t="s">
        <v>152</v>
      </c>
      <c r="J25" s="6" t="s">
        <v>153</v>
      </c>
      <c r="K25" s="8" t="str">
        <f aca="false">IF(E25="No data","No data",IF(E25&lt;=Q25,5,IF(E25&lt;=P25,4,IF(E25&lt;=O25,3,IF(E25&lt;=N25,2,1)))))</f>
        <v>No data</v>
      </c>
      <c r="M25" s="2" t="s">
        <v>112</v>
      </c>
      <c r="N25" s="11" t="n">
        <v>0.1</v>
      </c>
      <c r="O25" s="11" t="n">
        <v>0.07</v>
      </c>
      <c r="P25" s="11" t="n">
        <v>0.05</v>
      </c>
      <c r="Q25" s="11" t="n">
        <v>0.03</v>
      </c>
    </row>
    <row r="26" customFormat="false" ht="31.5" hidden="false" customHeight="true" outlineLevel="0" collapsed="false">
      <c r="A26" s="4" t="s">
        <v>138</v>
      </c>
      <c r="B26" s="5" t="s">
        <v>154</v>
      </c>
      <c r="C26" s="6" t="s">
        <v>29</v>
      </c>
      <c r="D26" s="6" t="s">
        <v>155</v>
      </c>
      <c r="E26" s="10" t="str">
        <f aca="false">IFERROR(IF(OR(ISBLANK(Variables!$C$41),ISBLANK(Variables!$C$39)),"No data",Variables!$C$41/Variables!$C$39),"No data")</f>
        <v>No data</v>
      </c>
      <c r="F26" s="6" t="s">
        <v>156</v>
      </c>
      <c r="G26" s="6"/>
      <c r="H26" s="6"/>
      <c r="I26" s="6"/>
      <c r="J26" s="6"/>
      <c r="K26" s="8" t="str">
        <f aca="false">IF(E26="No data","No data","—")</f>
        <v>No data</v>
      </c>
    </row>
    <row r="28" customFormat="false" ht="15" hidden="false" customHeight="true" outlineLevel="0" collapsed="false">
      <c r="A28" s="14" t="s">
        <v>157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customFormat="false" ht="15" hidden="false" customHeight="true" outlineLevel="0" collapsed="false">
      <c r="A29" s="15" t="s">
        <v>158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true" outlineLevel="0" collapsed="false">
      <c r="A30" s="15" t="s">
        <v>159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true" outlineLevel="0" collapsed="false">
      <c r="A31" s="15" t="s">
        <v>160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15" hidden="false" customHeight="true" outlineLevel="0" collapsed="false">
      <c r="A32" s="15" t="s">
        <v>161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customFormat="false" ht="15" hidden="false" customHeight="true" outlineLevel="0" collapsed="false">
      <c r="A33" s="15" t="s">
        <v>162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</sheetData>
  <mergeCells count="7">
    <mergeCell ref="F26:J26"/>
    <mergeCell ref="A28:K28"/>
    <mergeCell ref="A29:K29"/>
    <mergeCell ref="A30:K30"/>
    <mergeCell ref="A31:K31"/>
    <mergeCell ref="A32:K32"/>
    <mergeCell ref="A33:K33"/>
  </mergeCells>
  <conditionalFormatting sqref="F5:J26">
    <cfRule type="expression" priority="2" aboveAverage="0" equalAverage="0" bottom="0" percent="0" rank="0" text="" dxfId="0">
      <formula>COLUMN(F5)-COLUMN($F$5)+1=$K5</formula>
    </cfRule>
  </conditionalFormatting>
  <conditionalFormatting sqref="K5:K26">
    <cfRule type="expression" priority="3" aboveAverage="0" equalAverage="0" bottom="0" percent="0" rank="0" text="" dxfId="1">
      <formula>$K5=1</formula>
    </cfRule>
    <cfRule type="expression" priority="4" aboveAverage="0" equalAverage="0" bottom="0" percent="0" rank="0" text="" dxfId="2">
      <formula>$K5=2</formula>
    </cfRule>
    <cfRule type="expression" priority="5" aboveAverage="0" equalAverage="0" bottom="0" percent="0" rank="0" text="" dxfId="3">
      <formula>$K5=3</formula>
    </cfRule>
    <cfRule type="expression" priority="6" aboveAverage="0" equalAverage="0" bottom="0" percent="0" rank="0" text="" dxfId="4">
      <formula>$K5=4</formula>
    </cfRule>
    <cfRule type="expression" priority="7" aboveAverage="0" equalAverage="0" bottom="0" percent="0" rank="0" text="" dxfId="5">
      <formula>$K5=5</formula>
    </cfRule>
    <cfRule type="expression" priority="8" aboveAverage="0" equalAverage="0" bottom="0" percent="0" rank="0" text="" dxfId="6">
      <formula>$K5="No data"</formula>
    </cfRule>
  </conditionalFormatting>
  <conditionalFormatting sqref="E5:E26">
    <cfRule type="expression" priority="9" aboveAverage="0" equalAverage="0" bottom="0" percent="0" rank="0" text="" dxfId="6">
      <formula>$E5="No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3" t="s">
        <v>165</v>
      </c>
      <c r="B4" s="3" t="s">
        <v>4</v>
      </c>
      <c r="C4" s="3" t="s">
        <v>6</v>
      </c>
      <c r="D4" s="3" t="s">
        <v>166</v>
      </c>
      <c r="E4" s="3" t="s">
        <v>167</v>
      </c>
      <c r="F4" s="3" t="s">
        <v>168</v>
      </c>
    </row>
    <row r="5" customFormat="false" ht="15" hidden="false" customHeight="false" outlineLevel="0" collapsed="false">
      <c r="A5" s="16" t="s">
        <v>169</v>
      </c>
      <c r="B5" s="17"/>
      <c r="C5" s="17"/>
      <c r="D5" s="17"/>
      <c r="E5" s="17"/>
      <c r="F5" s="17"/>
    </row>
    <row r="6" customFormat="false" ht="15" hidden="false" customHeight="false" outlineLevel="0" collapsed="false">
      <c r="A6" s="5" t="s">
        <v>170</v>
      </c>
      <c r="B6" s="5" t="s">
        <v>171</v>
      </c>
      <c r="C6" s="18" t="n">
        <v>106120</v>
      </c>
      <c r="D6" s="5" t="n">
        <v>2024</v>
      </c>
      <c r="E6" s="5" t="s">
        <v>172</v>
      </c>
      <c r="F6" s="5" t="s">
        <v>173</v>
      </c>
    </row>
    <row r="7" customFormat="false" ht="15" hidden="false" customHeight="false" outlineLevel="0" collapsed="false">
      <c r="A7" s="5" t="s">
        <v>174</v>
      </c>
      <c r="B7" s="5" t="s">
        <v>171</v>
      </c>
      <c r="C7" s="18" t="n">
        <v>4.5</v>
      </c>
      <c r="D7" s="5" t="n">
        <v>2024</v>
      </c>
      <c r="E7" s="5" t="s">
        <v>172</v>
      </c>
      <c r="F7" s="5"/>
    </row>
    <row r="8" customFormat="false" ht="15" hidden="false" customHeight="false" outlineLevel="0" collapsed="false">
      <c r="A8" s="5" t="s">
        <v>175</v>
      </c>
      <c r="B8" s="5" t="s">
        <v>171</v>
      </c>
      <c r="C8" s="19"/>
      <c r="D8" s="5"/>
      <c r="E8" s="5" t="s">
        <v>176</v>
      </c>
      <c r="F8" s="5" t="s">
        <v>177</v>
      </c>
    </row>
    <row r="9" customFormat="false" ht="15" hidden="false" customHeight="false" outlineLevel="0" collapsed="false">
      <c r="A9" s="16" t="s">
        <v>178</v>
      </c>
      <c r="B9" s="17"/>
      <c r="C9" s="17"/>
      <c r="D9" s="17"/>
      <c r="E9" s="17"/>
      <c r="F9" s="17"/>
    </row>
    <row r="10" customFormat="false" ht="15" hidden="false" customHeight="false" outlineLevel="0" collapsed="false">
      <c r="A10" s="5" t="s">
        <v>179</v>
      </c>
      <c r="B10" s="5" t="s">
        <v>180</v>
      </c>
      <c r="C10" s="18" t="n">
        <v>6461</v>
      </c>
      <c r="D10" s="5" t="n">
        <v>2024</v>
      </c>
      <c r="E10" s="5" t="s">
        <v>181</v>
      </c>
      <c r="F10" s="5" t="s">
        <v>182</v>
      </c>
    </row>
    <row r="11" customFormat="false" ht="26.85" hidden="false" customHeight="false" outlineLevel="0" collapsed="false">
      <c r="A11" s="5" t="s">
        <v>183</v>
      </c>
      <c r="B11" s="5" t="s">
        <v>180</v>
      </c>
      <c r="C11" s="19"/>
      <c r="D11" s="5"/>
      <c r="E11" s="5" t="s">
        <v>176</v>
      </c>
      <c r="F11" s="5" t="s">
        <v>184</v>
      </c>
    </row>
    <row r="12" customFormat="false" ht="15" hidden="false" customHeight="false" outlineLevel="0" collapsed="false">
      <c r="A12" s="5" t="s">
        <v>185</v>
      </c>
      <c r="B12" s="5" t="s">
        <v>180</v>
      </c>
      <c r="C12" s="19"/>
      <c r="D12" s="5"/>
      <c r="E12" s="5" t="s">
        <v>176</v>
      </c>
      <c r="F12" s="5"/>
    </row>
    <row r="13" customFormat="false" ht="15" hidden="false" customHeight="false" outlineLevel="0" collapsed="false">
      <c r="A13" s="5" t="s">
        <v>186</v>
      </c>
      <c r="B13" s="5" t="s">
        <v>180</v>
      </c>
      <c r="C13" s="18" t="n">
        <v>6393</v>
      </c>
      <c r="D13" s="5" t="n">
        <v>2024</v>
      </c>
      <c r="E13" s="5" t="s">
        <v>181</v>
      </c>
      <c r="F13" s="5" t="s">
        <v>187</v>
      </c>
    </row>
    <row r="14" customFormat="false" ht="15" hidden="false" customHeight="false" outlineLevel="0" collapsed="false">
      <c r="A14" s="5" t="s">
        <v>188</v>
      </c>
      <c r="B14" s="5" t="s">
        <v>180</v>
      </c>
      <c r="C14" s="19"/>
      <c r="D14" s="5"/>
      <c r="E14" s="5" t="s">
        <v>176</v>
      </c>
      <c r="F14" s="5"/>
    </row>
    <row r="15" customFormat="false" ht="15" hidden="false" customHeight="false" outlineLevel="0" collapsed="false">
      <c r="A15" s="5" t="s">
        <v>189</v>
      </c>
      <c r="B15" s="5" t="s">
        <v>190</v>
      </c>
      <c r="C15" s="18" t="n">
        <v>3049028</v>
      </c>
      <c r="D15" s="5" t="n">
        <v>2024</v>
      </c>
      <c r="E15" s="5" t="s">
        <v>181</v>
      </c>
      <c r="F15" s="5" t="s">
        <v>191</v>
      </c>
    </row>
    <row r="16" customFormat="false" ht="15" hidden="false" customHeight="false" outlineLevel="0" collapsed="false">
      <c r="A16" s="5" t="s">
        <v>192</v>
      </c>
      <c r="B16" s="5" t="s">
        <v>190</v>
      </c>
      <c r="C16" s="18" t="n">
        <v>1833134</v>
      </c>
      <c r="D16" s="5" t="n">
        <v>2024</v>
      </c>
      <c r="E16" s="5" t="s">
        <v>181</v>
      </c>
      <c r="F16" s="5" t="s">
        <v>193</v>
      </c>
    </row>
    <row r="17" customFormat="false" ht="26.85" hidden="false" customHeight="false" outlineLevel="0" collapsed="false">
      <c r="A17" s="5" t="s">
        <v>194</v>
      </c>
      <c r="B17" s="5" t="s">
        <v>190</v>
      </c>
      <c r="C17" s="18" t="n">
        <v>1758836</v>
      </c>
      <c r="D17" s="5" t="n">
        <v>2024</v>
      </c>
      <c r="E17" s="5" t="s">
        <v>195</v>
      </c>
      <c r="F17" s="5" t="s">
        <v>196</v>
      </c>
    </row>
    <row r="18" customFormat="false" ht="26.85" hidden="false" customHeight="false" outlineLevel="0" collapsed="false">
      <c r="A18" s="5" t="s">
        <v>28</v>
      </c>
      <c r="B18" s="5" t="s">
        <v>29</v>
      </c>
      <c r="C18" s="20" t="n">
        <v>0.934</v>
      </c>
      <c r="D18" s="5" t="n">
        <v>2024</v>
      </c>
      <c r="E18" s="5" t="s">
        <v>197</v>
      </c>
      <c r="F18" s="5" t="s">
        <v>198</v>
      </c>
    </row>
    <row r="19" customFormat="false" ht="15" hidden="false" customHeight="false" outlineLevel="0" collapsed="false">
      <c r="A19" s="5" t="s">
        <v>19</v>
      </c>
      <c r="B19" s="5" t="s">
        <v>199</v>
      </c>
      <c r="C19" s="21" t="n">
        <v>23.87</v>
      </c>
      <c r="D19" s="5" t="n">
        <v>2024</v>
      </c>
      <c r="E19" s="5" t="s">
        <v>197</v>
      </c>
      <c r="F19" s="5" t="s">
        <v>200</v>
      </c>
    </row>
    <row r="20" customFormat="false" ht="15" hidden="false" customHeight="false" outlineLevel="0" collapsed="false">
      <c r="A20" s="5" t="s">
        <v>201</v>
      </c>
      <c r="B20" s="5" t="s">
        <v>29</v>
      </c>
      <c r="C20" s="20" t="n">
        <v>0.9</v>
      </c>
      <c r="D20" s="5" t="n">
        <v>2025</v>
      </c>
      <c r="E20" s="5" t="s">
        <v>172</v>
      </c>
      <c r="F20" s="5" t="s">
        <v>202</v>
      </c>
    </row>
    <row r="21" customFormat="false" ht="15" hidden="false" customHeight="false" outlineLevel="0" collapsed="false">
      <c r="A21" s="16" t="s">
        <v>203</v>
      </c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5" t="s">
        <v>204</v>
      </c>
      <c r="B22" s="5" t="s">
        <v>180</v>
      </c>
      <c r="C22" s="19"/>
      <c r="D22" s="5"/>
      <c r="E22" s="5" t="s">
        <v>176</v>
      </c>
      <c r="F22" s="5" t="s">
        <v>205</v>
      </c>
    </row>
    <row r="23" customFormat="false" ht="15" hidden="false" customHeight="false" outlineLevel="0" collapsed="false">
      <c r="A23" s="5" t="s">
        <v>206</v>
      </c>
      <c r="B23" s="5" t="s">
        <v>180</v>
      </c>
      <c r="C23" s="19"/>
      <c r="D23" s="5"/>
      <c r="E23" s="5" t="s">
        <v>176</v>
      </c>
      <c r="F23" s="5"/>
    </row>
    <row r="24" customFormat="false" ht="15" hidden="false" customHeight="false" outlineLevel="0" collapsed="false">
      <c r="A24" s="5" t="s">
        <v>207</v>
      </c>
      <c r="B24" s="5" t="s">
        <v>190</v>
      </c>
      <c r="C24" s="19"/>
      <c r="D24" s="5"/>
      <c r="E24" s="5" t="s">
        <v>176</v>
      </c>
      <c r="F24" s="5"/>
    </row>
    <row r="25" customFormat="false" ht="15" hidden="false" customHeight="false" outlineLevel="0" collapsed="false">
      <c r="A25" s="5" t="s">
        <v>208</v>
      </c>
      <c r="B25" s="5" t="s">
        <v>190</v>
      </c>
      <c r="C25" s="19"/>
      <c r="D25" s="5"/>
      <c r="E25" s="5" t="s">
        <v>176</v>
      </c>
      <c r="F25" s="5"/>
    </row>
    <row r="26" customFormat="false" ht="15" hidden="false" customHeight="false" outlineLevel="0" collapsed="false">
      <c r="A26" s="5" t="s">
        <v>209</v>
      </c>
      <c r="B26" s="5" t="s">
        <v>29</v>
      </c>
      <c r="C26" s="22"/>
      <c r="D26" s="5"/>
      <c r="E26" s="5" t="s">
        <v>176</v>
      </c>
      <c r="F26" s="5"/>
    </row>
    <row r="27" customFormat="false" ht="15" hidden="false" customHeight="false" outlineLevel="0" collapsed="false">
      <c r="A27" s="5" t="s">
        <v>210</v>
      </c>
      <c r="B27" s="5" t="s">
        <v>29</v>
      </c>
      <c r="C27" s="22"/>
      <c r="D27" s="5"/>
      <c r="E27" s="5" t="s">
        <v>176</v>
      </c>
      <c r="F27" s="5"/>
    </row>
    <row r="28" customFormat="false" ht="15" hidden="false" customHeight="false" outlineLevel="0" collapsed="false">
      <c r="A28" s="5" t="s">
        <v>211</v>
      </c>
      <c r="B28" s="5" t="s">
        <v>212</v>
      </c>
      <c r="C28" s="19"/>
      <c r="D28" s="5"/>
      <c r="E28" s="5" t="s">
        <v>176</v>
      </c>
      <c r="F28" s="5"/>
    </row>
    <row r="29" customFormat="false" ht="15" hidden="false" customHeight="false" outlineLevel="0" collapsed="false">
      <c r="A29" s="5" t="s">
        <v>213</v>
      </c>
      <c r="B29" s="5" t="s">
        <v>180</v>
      </c>
      <c r="C29" s="19"/>
      <c r="D29" s="5"/>
      <c r="E29" s="5" t="s">
        <v>176</v>
      </c>
      <c r="F29" s="5"/>
    </row>
    <row r="30" customFormat="false" ht="15" hidden="false" customHeight="false" outlineLevel="0" collapsed="false">
      <c r="A30" s="16" t="s">
        <v>214</v>
      </c>
      <c r="B30" s="17"/>
      <c r="C30" s="17"/>
      <c r="D30" s="17"/>
      <c r="E30" s="17"/>
      <c r="F30" s="17"/>
    </row>
    <row r="31" customFormat="false" ht="15" hidden="false" customHeight="false" outlineLevel="0" collapsed="false">
      <c r="A31" s="5" t="s">
        <v>215</v>
      </c>
      <c r="B31" s="5" t="s">
        <v>29</v>
      </c>
      <c r="C31" s="22"/>
      <c r="D31" s="5"/>
      <c r="E31" s="5" t="s">
        <v>176</v>
      </c>
      <c r="F31" s="5"/>
    </row>
    <row r="32" customFormat="false" ht="15" hidden="false" customHeight="false" outlineLevel="0" collapsed="false">
      <c r="A32" s="5" t="s">
        <v>216</v>
      </c>
      <c r="B32" s="5" t="s">
        <v>29</v>
      </c>
      <c r="C32" s="22"/>
      <c r="D32" s="5"/>
      <c r="E32" s="5" t="s">
        <v>176</v>
      </c>
      <c r="F32" s="5"/>
    </row>
    <row r="33" customFormat="false" ht="15" hidden="false" customHeight="false" outlineLevel="0" collapsed="false">
      <c r="A33" s="5" t="s">
        <v>217</v>
      </c>
      <c r="B33" s="5" t="s">
        <v>29</v>
      </c>
      <c r="C33" s="22"/>
      <c r="D33" s="5"/>
      <c r="E33" s="5" t="s">
        <v>176</v>
      </c>
      <c r="F33" s="5"/>
    </row>
    <row r="34" customFormat="false" ht="15" hidden="false" customHeight="false" outlineLevel="0" collapsed="false">
      <c r="A34" s="16" t="s">
        <v>218</v>
      </c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5" t="s">
        <v>219</v>
      </c>
      <c r="B35" s="5" t="s">
        <v>220</v>
      </c>
      <c r="C35" s="18" t="n">
        <v>23144634.58</v>
      </c>
      <c r="D35" s="5" t="n">
        <v>2023</v>
      </c>
      <c r="E35" s="5" t="s">
        <v>181</v>
      </c>
      <c r="F35" s="5" t="s">
        <v>221</v>
      </c>
    </row>
    <row r="36" customFormat="false" ht="15" hidden="false" customHeight="false" outlineLevel="0" collapsed="false">
      <c r="A36" s="5" t="s">
        <v>222</v>
      </c>
      <c r="B36" s="5" t="s">
        <v>220</v>
      </c>
      <c r="C36" s="18" t="n">
        <v>23144634.58</v>
      </c>
      <c r="D36" s="5" t="n">
        <v>2023</v>
      </c>
      <c r="E36" s="5" t="s">
        <v>181</v>
      </c>
      <c r="F36" s="5" t="s">
        <v>223</v>
      </c>
    </row>
    <row r="37" customFormat="false" ht="15" hidden="false" customHeight="false" outlineLevel="0" collapsed="false">
      <c r="A37" s="5" t="s">
        <v>224</v>
      </c>
      <c r="B37" s="5" t="s">
        <v>220</v>
      </c>
      <c r="C37" s="19"/>
      <c r="D37" s="5"/>
      <c r="E37" s="5" t="s">
        <v>176</v>
      </c>
      <c r="F37" s="5" t="s">
        <v>225</v>
      </c>
    </row>
    <row r="38" customFormat="false" ht="15" hidden="false" customHeight="false" outlineLevel="0" collapsed="false">
      <c r="A38" s="5" t="s">
        <v>226</v>
      </c>
      <c r="B38" s="5" t="s">
        <v>220</v>
      </c>
      <c r="C38" s="19"/>
      <c r="D38" s="5"/>
      <c r="E38" s="5" t="s">
        <v>176</v>
      </c>
      <c r="F38" s="5" t="s">
        <v>227</v>
      </c>
    </row>
    <row r="39" customFormat="false" ht="15" hidden="false" customHeight="false" outlineLevel="0" collapsed="false">
      <c r="A39" s="5" t="s">
        <v>228</v>
      </c>
      <c r="B39" s="5" t="s">
        <v>220</v>
      </c>
      <c r="C39" s="18" t="n">
        <v>26107632</v>
      </c>
      <c r="D39" s="5" t="n">
        <v>2023</v>
      </c>
      <c r="E39" s="5" t="s">
        <v>172</v>
      </c>
      <c r="F39" s="5" t="s">
        <v>229</v>
      </c>
    </row>
    <row r="40" customFormat="false" ht="15" hidden="false" customHeight="false" outlineLevel="0" collapsed="false">
      <c r="A40" s="5" t="s">
        <v>230</v>
      </c>
      <c r="B40" s="5" t="s">
        <v>220</v>
      </c>
      <c r="C40" s="19"/>
      <c r="D40" s="5"/>
      <c r="E40" s="5" t="s">
        <v>176</v>
      </c>
      <c r="F40" s="5"/>
    </row>
    <row r="41" customFormat="false" ht="15" hidden="false" customHeight="false" outlineLevel="0" collapsed="false">
      <c r="A41" s="5" t="s">
        <v>231</v>
      </c>
      <c r="B41" s="5" t="s">
        <v>220</v>
      </c>
      <c r="C41" s="19"/>
      <c r="D41" s="5"/>
      <c r="E41" s="5" t="s">
        <v>176</v>
      </c>
      <c r="F41" s="5"/>
    </row>
    <row r="42" customFormat="false" ht="15" hidden="false" customHeight="false" outlineLevel="0" collapsed="false">
      <c r="A42" s="5" t="s">
        <v>232</v>
      </c>
      <c r="B42" s="5" t="s">
        <v>220</v>
      </c>
      <c r="C42" s="19"/>
      <c r="D42" s="5"/>
      <c r="E42" s="5" t="s">
        <v>176</v>
      </c>
      <c r="F42" s="5"/>
    </row>
    <row r="43" customFormat="false" ht="15" hidden="false" customHeight="false" outlineLevel="0" collapsed="false">
      <c r="A43" s="5" t="s">
        <v>233</v>
      </c>
      <c r="B43" s="5" t="s">
        <v>220</v>
      </c>
      <c r="C43" s="19"/>
      <c r="D43" s="5"/>
      <c r="E43" s="5" t="s">
        <v>176</v>
      </c>
      <c r="F43" s="5"/>
    </row>
    <row r="44" customFormat="false" ht="15" hidden="false" customHeight="false" outlineLevel="0" collapsed="false">
      <c r="A44" s="5" t="s">
        <v>234</v>
      </c>
      <c r="B44" s="5" t="s">
        <v>220</v>
      </c>
      <c r="C44" s="19"/>
      <c r="D44" s="5"/>
      <c r="E44" s="5" t="s">
        <v>176</v>
      </c>
      <c r="F44" s="5"/>
    </row>
    <row r="45" customFormat="false" ht="15" hidden="false" customHeight="false" outlineLevel="0" collapsed="false">
      <c r="A45" s="16" t="s">
        <v>235</v>
      </c>
      <c r="B45" s="17"/>
      <c r="C45" s="17"/>
      <c r="D45" s="17"/>
      <c r="E45" s="17"/>
      <c r="F45" s="17"/>
    </row>
    <row r="46" customFormat="false" ht="15" hidden="false" customHeight="false" outlineLevel="0" collapsed="false">
      <c r="A46" s="5" t="s">
        <v>236</v>
      </c>
      <c r="B46" s="5" t="s">
        <v>180</v>
      </c>
      <c r="C46" s="18" t="n">
        <v>9</v>
      </c>
      <c r="D46" s="5" t="n">
        <v>2025</v>
      </c>
      <c r="E46" s="5" t="s">
        <v>181</v>
      </c>
      <c r="F46" s="5" t="s">
        <v>237</v>
      </c>
    </row>
    <row r="47" customFormat="false" ht="15" hidden="false" customHeight="false" outlineLevel="0" collapsed="false">
      <c r="A47" s="5" t="s">
        <v>238</v>
      </c>
      <c r="B47" s="5" t="s">
        <v>180</v>
      </c>
      <c r="C47" s="18" t="n">
        <v>1</v>
      </c>
      <c r="D47" s="5" t="n">
        <v>2025</v>
      </c>
      <c r="E47" s="5" t="s">
        <v>181</v>
      </c>
      <c r="F47" s="5" t="s">
        <v>239</v>
      </c>
    </row>
    <row r="48" customFormat="false" ht="15" hidden="false" customHeight="false" outlineLevel="0" collapsed="false">
      <c r="A48" s="5" t="s">
        <v>240</v>
      </c>
      <c r="B48" s="5" t="s">
        <v>180</v>
      </c>
      <c r="C48" s="19"/>
      <c r="D48" s="5"/>
      <c r="E48" s="5" t="s">
        <v>176</v>
      </c>
      <c r="F48" s="5"/>
    </row>
    <row r="49" customFormat="false" ht="15" hidden="false" customHeight="false" outlineLevel="0" collapsed="false">
      <c r="A49" s="16" t="s">
        <v>241</v>
      </c>
      <c r="B49" s="17"/>
      <c r="C49" s="17"/>
      <c r="D49" s="17"/>
      <c r="E49" s="17"/>
      <c r="F49" s="17"/>
    </row>
    <row r="50" customFormat="false" ht="15" hidden="false" customHeight="false" outlineLevel="0" collapsed="false">
      <c r="A50" s="5" t="s">
        <v>242</v>
      </c>
      <c r="B50" s="5" t="s">
        <v>171</v>
      </c>
      <c r="C50" s="19" t="n">
        <f aca="false">IF(OR(ISBLANK(Variables!$C$7),ISBLANK(Variables!$C$13)),"",Variables!$C$7*Variables!$C$13+N(Variables!$C$8)*N(Variables!$C$14))</f>
        <v>28768.5</v>
      </c>
      <c r="D50" s="5"/>
      <c r="E50" s="5" t="s">
        <v>197</v>
      </c>
      <c r="F50" s="5" t="s">
        <v>243</v>
      </c>
    </row>
    <row r="51" customFormat="false" ht="15" hidden="false" customHeight="false" outlineLevel="0" collapsed="false">
      <c r="A51" s="5" t="s">
        <v>244</v>
      </c>
      <c r="B51" s="5" t="s">
        <v>171</v>
      </c>
      <c r="C51" s="19" t="str">
        <f aca="false">IF(AND(ISBLANK(Variables!$C$22),ISBLANK(Variables!$C$23)),"",Variables!$C$7*(N(Variables!$C$22)+N(Variables!$C$23)))</f>
        <v/>
      </c>
      <c r="D51" s="5"/>
      <c r="E51" s="5" t="s">
        <v>197</v>
      </c>
      <c r="F51" s="5"/>
    </row>
    <row r="52" customFormat="false" ht="15" hidden="false" customHeight="false" outlineLevel="0" collapsed="false">
      <c r="A52" s="5" t="s">
        <v>245</v>
      </c>
      <c r="B52" s="5" t="s">
        <v>190</v>
      </c>
      <c r="C52" s="19" t="n">
        <f aca="false">IF(OR(ISBLANK(Variables!$C$15),ISBLANK(Variables!$C$16)),"",Variables!$C$15-Variables!$C$16)</f>
        <v>1215894</v>
      </c>
      <c r="D52" s="5"/>
      <c r="E52" s="5" t="s">
        <v>197</v>
      </c>
      <c r="F52" s="5" t="s">
        <v>246</v>
      </c>
    </row>
    <row r="53" customFormat="false" ht="15" hidden="false" customHeight="false" outlineLevel="0" collapsed="false">
      <c r="A53" s="5" t="s">
        <v>247</v>
      </c>
      <c r="B53" s="5" t="s">
        <v>220</v>
      </c>
      <c r="C53" s="23" t="n">
        <f aca="false">IF(OR(ISBLANK(Variables!$C$35),ISBLANK(Variables!$C$39)),"",Variables!$C$35-Variables!$C$39)</f>
        <v>-2962997.42</v>
      </c>
      <c r="D53" s="5"/>
      <c r="E53" s="5" t="s">
        <v>197</v>
      </c>
      <c r="F53" s="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2026-10-15T02:06:49Z</dcterms:created>
  <dc:creator>openpyxl</dc:creator>
  <dc:description/>
  <dc:language>en-US</dc:language>
  <cp:lastModifiedBy/>
  <dcterms:modified xsi:type="dcterms:W3CDTF">2026-10-15T02:06:49Z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